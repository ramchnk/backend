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/>
  <mc:AlternateContent xmlns:mc="http://schemas.openxmlformats.org/markup-compatibility/2006">
    <mc:Choice Requires="x15">
      <x15ac:absPath xmlns:x15ac="http://schemas.microsoft.com/office/spreadsheetml/2010/11/ac" url="https://globalisor.sharepoint.com/sites/Clients-Piyush/Shared Documents/B/Banzota/"/>
    </mc:Choice>
  </mc:AlternateContent>
  <xr:revisionPtr revIDLastSave="516" documentId="13_ncr:1_{BD800584-DD8D-4DCE-B48F-B1827DA81995}" xr6:coauthVersionLast="47" xr6:coauthVersionMax="47" xr10:uidLastSave="{F37CD64E-9DB7-455A-84C9-46798F30DE7B}"/>
  <bookViews>
    <workbookView minimized="1" xWindow="760" yWindow="760" windowWidth="16920" windowHeight="10460" tabRatio="806" xr2:uid="{00000000-000D-0000-FFFF-FFFF00000000}"/>
  </bookViews>
  <sheets>
    <sheet name="Home " sheetId="11" r:id="rId1"/>
    <sheet name="AML_Review" sheetId="14" r:id="rId2"/>
    <sheet name="Directors" sheetId="1" r:id="rId3"/>
    <sheet name="Secretaries" sheetId="8" r:id="rId4"/>
    <sheet name="Auditors" sheetId="7" r:id="rId5"/>
    <sheet name="Members" sheetId="2" r:id="rId6"/>
    <sheet name="Controllers" sheetId="3" r:id="rId7"/>
    <sheet name="RONS" sheetId="13" r:id="rId8"/>
    <sheet name="Allotments" sheetId="6" r:id="rId9"/>
    <sheet name="Transfers" sheetId="5" r:id="rId10"/>
    <sheet name="Register of Directors Sh" sheetId="12" r:id="rId11"/>
    <sheet name="Charges " sheetId="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3" l="1"/>
  <c r="C2" i="13"/>
  <c r="H2" i="13"/>
  <c r="G2" i="13"/>
  <c r="G3" i="5"/>
  <c r="F3" i="5"/>
  <c r="H3" i="4"/>
  <c r="K3" i="12"/>
  <c r="J3" i="6"/>
  <c r="I4" i="6"/>
  <c r="I3" i="3"/>
  <c r="G2" i="2"/>
  <c r="F2" i="7"/>
  <c r="G2" i="8"/>
  <c r="H3" i="1"/>
  <c r="F21" i="2"/>
  <c r="G3" i="4"/>
  <c r="A3" i="4"/>
  <c r="A2" i="4"/>
  <c r="J3" i="12"/>
  <c r="B3" i="12"/>
  <c r="B2" i="12"/>
  <c r="A3" i="5"/>
  <c r="A2" i="5"/>
  <c r="I3" i="6"/>
  <c r="A3" i="6"/>
  <c r="A2" i="6"/>
  <c r="H3" i="3"/>
  <c r="B3" i="3"/>
  <c r="B2" i="3"/>
  <c r="E21" i="2"/>
  <c r="A3" i="2"/>
  <c r="F2" i="2"/>
  <c r="A2" i="2"/>
  <c r="A3" i="7"/>
  <c r="E2" i="7"/>
  <c r="A2" i="7"/>
  <c r="A3" i="8"/>
  <c r="F2" i="8"/>
  <c r="G3" i="1"/>
  <c r="A3" i="1"/>
  <c r="A2" i="1"/>
  <c r="A2" i="8" s="1"/>
</calcChain>
</file>

<file path=xl/sharedStrings.xml><?xml version="1.0" encoding="utf-8"?>
<sst xmlns="http://schemas.openxmlformats.org/spreadsheetml/2006/main" count="258" uniqueCount="165">
  <si>
    <t xml:space="preserve"> </t>
  </si>
  <si>
    <t>Last updated</t>
  </si>
  <si>
    <t xml:space="preserve">Name of the Company </t>
  </si>
  <si>
    <t>BANZOTA PTE. LTD.</t>
  </si>
  <si>
    <t xml:space="preserve">UEN No. </t>
  </si>
  <si>
    <t> 202613040H</t>
  </si>
  <si>
    <t>Company Type</t>
  </si>
  <si>
    <t xml:space="preserve">Private Company Limited by shares </t>
  </si>
  <si>
    <t>Primary Activity</t>
  </si>
  <si>
    <t>46900 – Wholesale trade of a variety of goods without a dominant product</t>
  </si>
  <si>
    <t xml:space="preserve">Secondary Activity </t>
  </si>
  <si>
    <t>62090 Other information technology and computer service activities</t>
  </si>
  <si>
    <t>Registered Office Address</t>
  </si>
  <si>
    <t>10 Anson Road , #16-04, International Plaza,Singapore 079903</t>
  </si>
  <si>
    <t>Last AGM Date</t>
  </si>
  <si>
    <t>NA</t>
  </si>
  <si>
    <t>FYE of FS Laid at AGM</t>
  </si>
  <si>
    <t xml:space="preserve">Date of Annual return </t>
  </si>
  <si>
    <t>XBRL Prepared</t>
  </si>
  <si>
    <t>Summary of Transactions</t>
  </si>
  <si>
    <t>Date</t>
  </si>
  <si>
    <t>Transaction Description</t>
  </si>
  <si>
    <t xml:space="preserve">Lodged by </t>
  </si>
  <si>
    <t>Lodged Date</t>
  </si>
  <si>
    <t>Notes</t>
  </si>
  <si>
    <t xml:space="preserve">Apply for Company name </t>
  </si>
  <si>
    <t>Primary activity</t>
  </si>
  <si>
    <t>Incorporation of Company</t>
  </si>
  <si>
    <t>RORC Update</t>
  </si>
  <si>
    <t xml:space="preserve">Reviwed On </t>
  </si>
  <si>
    <t xml:space="preserve">Name </t>
  </si>
  <si>
    <t>AML1</t>
  </si>
  <si>
    <t>AML2</t>
  </si>
  <si>
    <t>CDD</t>
  </si>
  <si>
    <t xml:space="preserve">Google Search </t>
  </si>
  <si>
    <t>Bank Statement</t>
  </si>
  <si>
    <t>ND-ANU</t>
  </si>
  <si>
    <t xml:space="preserve">Register of Directors </t>
  </si>
  <si>
    <t>Former name, if any / Aliases</t>
  </si>
  <si>
    <t>NRIC NO./ Passport No./ Fin No.</t>
  </si>
  <si>
    <t xml:space="preserve">Date of Birth </t>
  </si>
  <si>
    <t>Passport Expiry</t>
  </si>
  <si>
    <t xml:space="preserve">Nationality </t>
  </si>
  <si>
    <t>Address</t>
  </si>
  <si>
    <t>Date of Appointment</t>
  </si>
  <si>
    <t xml:space="preserve">Date of Cessation </t>
  </si>
  <si>
    <t>Mobile</t>
  </si>
  <si>
    <t>email</t>
  </si>
  <si>
    <t>NGUYEN HUNG GIANG</t>
  </si>
  <si>
    <t>NONE</t>
  </si>
  <si>
    <t>P01393809</t>
  </si>
  <si>
    <t>Vietnam</t>
  </si>
  <si>
    <t>319 AN DUONG VUONG,P.PHU THUONG,Q.TAY HO,TP.HA NOI</t>
  </si>
  <si>
    <t xml:space="preserve">(+84) 985 013 632 </t>
  </si>
  <si>
    <t>giangnh@skysolution.com</t>
  </si>
  <si>
    <t>Register of Nominee Directors</t>
  </si>
  <si>
    <t>ID card/ Passport</t>
  </si>
  <si>
    <t>TANGATURU SUBRAMANIAN ANNAPOORANA</t>
  </si>
  <si>
    <t>S8061258C</t>
  </si>
  <si>
    <t>NRIC</t>
  </si>
  <si>
    <t>INDIAN</t>
  </si>
  <si>
    <t>234, #02-494,COMPASSVALE WALK,SENGKANG 540234</t>
  </si>
  <si>
    <t>Position</t>
  </si>
  <si>
    <t>Authrised signatory</t>
  </si>
  <si>
    <t>Director</t>
  </si>
  <si>
    <t>Yes</t>
  </si>
  <si>
    <t>Nominee Director</t>
  </si>
  <si>
    <t>Indian</t>
  </si>
  <si>
    <t>anu@globalisor.com</t>
  </si>
  <si>
    <t xml:space="preserve">No - Nominee </t>
  </si>
  <si>
    <t xml:space="preserve">Register of Secretaries </t>
  </si>
  <si>
    <t>Any Former name / Aliases</t>
  </si>
  <si>
    <t xml:space="preserve">Nationality  </t>
  </si>
  <si>
    <t xml:space="preserve">Date of Resignation </t>
  </si>
  <si>
    <t>Form 45B</t>
  </si>
  <si>
    <t>PIYUSH KUMAR CHAPLOT</t>
  </si>
  <si>
    <t>S7980739G</t>
  </si>
  <si>
    <t>Singapore Citizen</t>
  </si>
  <si>
    <t>3 Rhu Cross #13 - 12, Costa Rhu,  Singapore       437433</t>
  </si>
  <si>
    <t xml:space="preserve">Register of Auditors </t>
  </si>
  <si>
    <t>Name of the Firm</t>
  </si>
  <si>
    <t>Identification No.</t>
  </si>
  <si>
    <t xml:space="preserve">Date of Appointment </t>
  </si>
  <si>
    <t>Date of Resignation</t>
  </si>
  <si>
    <t>Register of Members - Ordinary shares</t>
  </si>
  <si>
    <t xml:space="preserve">S. No. </t>
  </si>
  <si>
    <t>Name of Member</t>
  </si>
  <si>
    <t xml:space="preserve">NRIC No.  Passport No.   Fin No. </t>
  </si>
  <si>
    <t xml:space="preserve">Nationality / Place of Incorporation </t>
  </si>
  <si>
    <t>Date Entered as Member</t>
  </si>
  <si>
    <t>Date Ceased to be a Member</t>
  </si>
  <si>
    <t xml:space="preserve">Email </t>
  </si>
  <si>
    <t>MOBILE</t>
  </si>
  <si>
    <t>BETTAMAX PTE. LTD.</t>
  </si>
  <si>
    <t>202519745Z</t>
  </si>
  <si>
    <t>Singapore</t>
  </si>
  <si>
    <t>Share Ledger - Ordinary Shares</t>
  </si>
  <si>
    <t xml:space="preserve">Acquired / (Transferred) </t>
  </si>
  <si>
    <t>S. No.</t>
  </si>
  <si>
    <t>Share Certificate Number</t>
  </si>
  <si>
    <t>Number of Shares</t>
  </si>
  <si>
    <t>Consideration (SGD)</t>
  </si>
  <si>
    <t>Total Ordinary</t>
  </si>
  <si>
    <t>Register of Controllers / Ultimate Beneficial owners (UBOs)</t>
  </si>
  <si>
    <t>Date of Entry</t>
  </si>
  <si>
    <t xml:space="preserve">Name of Controller </t>
  </si>
  <si>
    <t xml:space="preserve">Remarks / Notes </t>
  </si>
  <si>
    <t xml:space="preserve">pp expiry </t>
  </si>
  <si>
    <t>none</t>
  </si>
  <si>
    <t>SINGAPORE</t>
  </si>
  <si>
    <t>Register of Nominee Shareholder (RONS)</t>
  </si>
  <si>
    <t xml:space="preserve">NIL </t>
  </si>
  <si>
    <t xml:space="preserve">Nominee </t>
  </si>
  <si>
    <t>Nominator</t>
  </si>
  <si>
    <t>Name</t>
  </si>
  <si>
    <t>NRIC/ Passport/Fin No. *</t>
  </si>
  <si>
    <t>Address**</t>
  </si>
  <si>
    <t>* Please ensure that a copy of ID proof is collected and filed</t>
  </si>
  <si>
    <t xml:space="preserve">** Please ensure that a copy of latest address proof is collected and filed </t>
  </si>
  <si>
    <t xml:space="preserve">Register of Applications and Allotments </t>
  </si>
  <si>
    <t>Class of Shares : Ordinary</t>
  </si>
  <si>
    <t>Date of Application</t>
  </si>
  <si>
    <t>Date of Allotment</t>
  </si>
  <si>
    <t>Name, address and description of Applicant</t>
  </si>
  <si>
    <t xml:space="preserve">Number of shares applied for </t>
  </si>
  <si>
    <t>Currency</t>
  </si>
  <si>
    <t>Amount of Deposit</t>
  </si>
  <si>
    <t>Amount in respect of Shares Allotted</t>
  </si>
  <si>
    <t>Further Amount Payable</t>
  </si>
  <si>
    <t xml:space="preserve">Certificate No. </t>
  </si>
  <si>
    <t>sgd</t>
  </si>
  <si>
    <t xml:space="preserve">Yet to draft </t>
  </si>
  <si>
    <t>Class of Shares : Preferred</t>
  </si>
  <si>
    <t xml:space="preserve">Register of Transfers </t>
  </si>
  <si>
    <t>Class of Shares: Ordinary Shares</t>
  </si>
  <si>
    <t>Date of Transfer</t>
  </si>
  <si>
    <t>Transferor</t>
  </si>
  <si>
    <t>Transferee</t>
  </si>
  <si>
    <t>Certificate No.</t>
  </si>
  <si>
    <t>Number of shares Transferred</t>
  </si>
  <si>
    <t>Name, Address and Description</t>
  </si>
  <si>
    <t>Price or consideration  per share</t>
  </si>
  <si>
    <t>Class of Shares: Preference  Shares</t>
  </si>
  <si>
    <t>Register of Directors' Shareholdings</t>
  </si>
  <si>
    <t>Name of Director</t>
  </si>
  <si>
    <t>Stock-Shares-Debentures</t>
  </si>
  <si>
    <t>How held</t>
  </si>
  <si>
    <t>Interest of right acquired</t>
  </si>
  <si>
    <t>Cessation of interest or right</t>
  </si>
  <si>
    <t>If required by director, details of nature and extent of interest or right</t>
  </si>
  <si>
    <t>Number</t>
  </si>
  <si>
    <t>Description</t>
  </si>
  <si>
    <t>Amount (USD)</t>
  </si>
  <si>
    <t>(i.e. holder; in trust; right to become holder)</t>
  </si>
  <si>
    <t>Date of agreement</t>
  </si>
  <si>
    <t>Register of Charges</t>
  </si>
  <si>
    <t>Date of Charge</t>
  </si>
  <si>
    <t>Date of Registration</t>
  </si>
  <si>
    <t xml:space="preserve">Registration No. </t>
  </si>
  <si>
    <t>Charge Instrument</t>
  </si>
  <si>
    <t>The Names of the persons entitled to the charge</t>
  </si>
  <si>
    <t>Total Principal Secured</t>
  </si>
  <si>
    <t>Description of Property charged</t>
  </si>
  <si>
    <t>Date of Discharge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</si>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</sst>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-* #,##0_-;\-* #,##0_-;_-* &quot;-&quot;??_-;_-@_-"/>
    <numFmt numFmtId="166" formatCode="_-* #,##0.0_-;\-* #,##0.0_-;_-* &quot;-&quot;??_-;_-@_-"/>
    <numFmt numFmtId="167" formatCode="[$-14809]d\ mmm\ yyyy;@"/>
    <numFmt numFmtId="168" formatCode="#,##0_ ;\-#,##0\ 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0BE7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 style="medium">
        <color theme="0" tint="-0.34998626667073579"/>
      </right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medium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medium">
        <color theme="0" tint="-0.34998626667073579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65">
    <xf numFmtId="0" fontId="0" fillId="0" borderId="0" xfId="0"/>
    <xf numFmtId="0" fontId="0" fillId="0" borderId="0" xfId="0" applyAlignment="1">
      <alignment horizontal="center" vertical="top" wrapText="1"/>
    </xf>
    <xf numFmtId="0" fontId="2" fillId="2" borderId="0" xfId="0" applyFont="1" applyFill="1"/>
    <xf numFmtId="0" fontId="0" fillId="2" borderId="0" xfId="0" applyFill="1"/>
    <xf numFmtId="167" fontId="0" fillId="2" borderId="0" xfId="0" applyNumberFormat="1" applyFill="1"/>
    <xf numFmtId="0" fontId="3" fillId="0" borderId="0" xfId="0" applyFont="1"/>
    <xf numFmtId="0" fontId="2" fillId="3" borderId="1" xfId="0" applyFont="1" applyFill="1" applyBorder="1" applyAlignment="1">
      <alignment horizontal="center" vertical="top" wrapText="1"/>
    </xf>
    <xf numFmtId="0" fontId="4" fillId="0" borderId="1" xfId="0" applyFont="1" applyBorder="1"/>
    <xf numFmtId="0" fontId="0" fillId="0" borderId="1" xfId="0" applyBorder="1"/>
    <xf numFmtId="0" fontId="2" fillId="0" borderId="1" xfId="0" applyFont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5" fontId="0" fillId="0" borderId="5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2" borderId="0" xfId="0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167" fontId="0" fillId="0" borderId="4" xfId="0" applyNumberFormat="1" applyBorder="1" applyAlignment="1">
      <alignment vertical="center"/>
    </xf>
    <xf numFmtId="167" fontId="0" fillId="0" borderId="5" xfId="0" applyNumberFormat="1" applyBorder="1" applyAlignment="1">
      <alignment vertical="center"/>
    </xf>
    <xf numFmtId="167" fontId="0" fillId="0" borderId="10" xfId="0" applyNumberFormat="1" applyBorder="1" applyAlignment="1">
      <alignment vertical="center"/>
    </xf>
    <xf numFmtId="167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165" fontId="0" fillId="0" borderId="6" xfId="1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8" xfId="0" applyBorder="1" applyAlignment="1">
      <alignment vertical="center" wrapText="1"/>
    </xf>
    <xf numFmtId="0" fontId="2" fillId="2" borderId="7" xfId="0" applyFont="1" applyFill="1" applyBorder="1" applyAlignment="1">
      <alignment horizontal="center" vertical="top" wrapText="1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/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3" borderId="2" xfId="0" applyFill="1" applyBorder="1"/>
    <xf numFmtId="0" fontId="0" fillId="3" borderId="3" xfId="0" applyFill="1" applyBorder="1"/>
    <xf numFmtId="0" fontId="2" fillId="3" borderId="7" xfId="0" applyFont="1" applyFill="1" applyBorder="1"/>
    <xf numFmtId="0" fontId="0" fillId="0" borderId="4" xfId="0" applyBorder="1" applyAlignment="1">
      <alignment horizontal="center"/>
    </xf>
    <xf numFmtId="167" fontId="0" fillId="0" borderId="5" xfId="0" applyNumberFormat="1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10" xfId="0" applyBorder="1"/>
    <xf numFmtId="0" fontId="0" fillId="0" borderId="6" xfId="0" applyBorder="1"/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0" fillId="0" borderId="9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67" fontId="0" fillId="0" borderId="1" xfId="0" applyNumberFormat="1" applyBorder="1"/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vertical="center"/>
    </xf>
    <xf numFmtId="167" fontId="0" fillId="0" borderId="1" xfId="0" applyNumberFormat="1" applyBorder="1" applyAlignment="1">
      <alignment vertical="center" wrapText="1"/>
    </xf>
    <xf numFmtId="167" fontId="0" fillId="0" borderId="8" xfId="0" applyNumberFormat="1" applyBorder="1" applyAlignment="1">
      <alignment horizontal="center" vertical="center" wrapText="1"/>
    </xf>
    <xf numFmtId="0" fontId="2" fillId="0" borderId="19" xfId="0" applyFont="1" applyBorder="1"/>
    <xf numFmtId="0" fontId="0" fillId="0" borderId="21" xfId="0" applyBorder="1"/>
    <xf numFmtId="0" fontId="2" fillId="0" borderId="22" xfId="0" applyFont="1" applyBorder="1"/>
    <xf numFmtId="0" fontId="0" fillId="0" borderId="23" xfId="0" applyBorder="1"/>
    <xf numFmtId="0" fontId="0" fillId="0" borderId="22" xfId="0" applyBorder="1"/>
    <xf numFmtId="0" fontId="2" fillId="0" borderId="24" xfId="0" applyFont="1" applyBorder="1"/>
    <xf numFmtId="0" fontId="0" fillId="0" borderId="26" xfId="0" applyBorder="1"/>
    <xf numFmtId="0" fontId="2" fillId="0" borderId="27" xfId="0" applyFont="1" applyBorder="1"/>
    <xf numFmtId="167" fontId="0" fillId="0" borderId="19" xfId="0" applyNumberFormat="1" applyBorder="1" applyAlignment="1">
      <alignment horizontal="center" vertical="center"/>
    </xf>
    <xf numFmtId="0" fontId="2" fillId="0" borderId="28" xfId="0" applyFont="1" applyBorder="1"/>
    <xf numFmtId="167" fontId="0" fillId="0" borderId="22" xfId="0" applyNumberFormat="1" applyBorder="1" applyAlignment="1">
      <alignment horizontal="center" vertical="center"/>
    </xf>
    <xf numFmtId="0" fontId="2" fillId="0" borderId="29" xfId="0" applyFont="1" applyBorder="1"/>
    <xf numFmtId="0" fontId="0" fillId="0" borderId="24" xfId="0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top" wrapText="1"/>
    </xf>
    <xf numFmtId="167" fontId="0" fillId="0" borderId="1" xfId="0" applyNumberFormat="1" applyBorder="1" applyAlignment="1">
      <alignment horizontal="left" vertical="center"/>
    </xf>
    <xf numFmtId="167" fontId="0" fillId="0" borderId="1" xfId="0" applyNumberFormat="1" applyBorder="1" applyAlignment="1">
      <alignment horizontal="left"/>
    </xf>
    <xf numFmtId="167" fontId="0" fillId="0" borderId="31" xfId="0" applyNumberFormat="1" applyBorder="1" applyAlignment="1">
      <alignment horizontal="left"/>
    </xf>
    <xf numFmtId="0" fontId="0" fillId="0" borderId="32" xfId="0" applyBorder="1"/>
    <xf numFmtId="0" fontId="2" fillId="0" borderId="35" xfId="0" applyFont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" fillId="0" borderId="9" xfId="0" applyFont="1" applyBorder="1" applyAlignment="1">
      <alignment horizontal="center"/>
    </xf>
    <xf numFmtId="0" fontId="0" fillId="0" borderId="0" xfId="0" applyAlignment="1">
      <alignment horizontal="center" vertical="top"/>
    </xf>
    <xf numFmtId="0" fontId="2" fillId="3" borderId="37" xfId="0" applyFont="1" applyFill="1" applyBorder="1" applyAlignment="1">
      <alignment horizontal="center" vertical="top" wrapText="1"/>
    </xf>
    <xf numFmtId="0" fontId="2" fillId="3" borderId="38" xfId="0" applyFont="1" applyFill="1" applyBorder="1" applyAlignment="1">
      <alignment horizontal="center" vertical="top" wrapText="1"/>
    </xf>
    <xf numFmtId="167" fontId="0" fillId="0" borderId="32" xfId="0" applyNumberFormat="1" applyBorder="1" applyAlignment="1">
      <alignment horizontal="left"/>
    </xf>
    <xf numFmtId="0" fontId="0" fillId="0" borderId="32" xfId="0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167" fontId="0" fillId="0" borderId="1" xfId="0" applyNumberFormat="1" applyBorder="1" applyAlignment="1">
      <alignment horizontal="center"/>
    </xf>
    <xf numFmtId="168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vertical="center"/>
    </xf>
    <xf numFmtId="166" fontId="0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7" fontId="2" fillId="4" borderId="0" xfId="0" applyNumberFormat="1" applyFont="1" applyFill="1"/>
    <xf numFmtId="0" fontId="0" fillId="0" borderId="5" xfId="0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8" fillId="0" borderId="1" xfId="2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top" wrapText="1"/>
    </xf>
    <xf numFmtId="0" fontId="2" fillId="3" borderId="41" xfId="0" applyFont="1" applyFill="1" applyBorder="1" applyAlignment="1">
      <alignment horizontal="center" vertical="center" wrapText="1"/>
    </xf>
    <xf numFmtId="0" fontId="8" fillId="0" borderId="1" xfId="2" applyBorder="1"/>
    <xf numFmtId="3" fontId="0" fillId="0" borderId="5" xfId="0" applyNumberFormat="1" applyBorder="1" applyAlignment="1">
      <alignment horizontal="center" vertical="center"/>
    </xf>
    <xf numFmtId="0" fontId="8" fillId="0" borderId="1" xfId="2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10" fillId="0" borderId="0" xfId="0" applyFont="1"/>
    <xf numFmtId="15" fontId="0" fillId="0" borderId="0" xfId="0" applyNumberFormat="1"/>
    <xf numFmtId="14" fontId="0" fillId="0" borderId="1" xfId="0" applyNumberFormat="1" applyBorder="1"/>
    <xf numFmtId="0" fontId="0" fillId="4" borderId="22" xfId="0" applyFill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0" fillId="0" borderId="40" xfId="0" applyBorder="1"/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22" xfId="0" applyFont="1" applyBorder="1"/>
    <xf numFmtId="0" fontId="1" fillId="0" borderId="24" xfId="0" applyFont="1" applyBorder="1"/>
    <xf numFmtId="0" fontId="1" fillId="0" borderId="0" xfId="0" applyFont="1"/>
    <xf numFmtId="15" fontId="1" fillId="0" borderId="0" xfId="0" applyNumberFormat="1" applyFont="1"/>
    <xf numFmtId="0" fontId="1" fillId="0" borderId="1" xfId="0" applyFont="1" applyBorder="1" applyAlignment="1">
      <alignment vertical="center"/>
    </xf>
    <xf numFmtId="16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0BE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nu@globalisor.com" TargetMode="External"/><Relationship Id="rId1" Type="http://schemas.openxmlformats.org/officeDocument/2006/relationships/hyperlink" Target="mailto:giangnh@skysolution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6"/>
  <sheetViews>
    <sheetView showGridLines="0" tabSelected="1" workbookViewId="0">
      <selection activeCell="C5" sqref="C5"/>
    </sheetView>
  </sheetViews>
  <sheetFormatPr defaultColWidth="9" defaultRowHeight="14.45"/>
  <cols>
    <col min="1" max="1" width="4.125" customWidth="1"/>
    <col min="2" max="2" width="24.5" customWidth="1"/>
    <col min="3" max="3" width="47.5" customWidth="1"/>
    <col min="4" max="4" width="14" style="46" customWidth="1"/>
    <col min="5" max="5" width="13" customWidth="1"/>
    <col min="6" max="6" width="11.125" customWidth="1"/>
    <col min="7" max="8" width="11.875" customWidth="1"/>
  </cols>
  <sheetData>
    <row r="1" spans="2:10">
      <c r="G1" t="s">
        <v>0</v>
      </c>
    </row>
    <row r="2" spans="2:10" ht="15" thickBot="1">
      <c r="F2" t="s">
        <v>1</v>
      </c>
      <c r="G2" s="127">
        <v>46087</v>
      </c>
    </row>
    <row r="3" spans="2:10" ht="15" thickBot="1">
      <c r="B3" s="79" t="s">
        <v>2</v>
      </c>
      <c r="C3" s="148" t="s">
        <v>3</v>
      </c>
      <c r="D3" s="149"/>
      <c r="E3" s="150"/>
    </row>
    <row r="4" spans="2:10">
      <c r="B4" s="81" t="s">
        <v>4</v>
      </c>
      <c r="C4" s="148" t="s">
        <v>5</v>
      </c>
      <c r="D4" s="149"/>
      <c r="E4" s="150"/>
    </row>
    <row r="5" spans="2:10">
      <c r="B5" s="81" t="s">
        <v>6</v>
      </c>
      <c r="C5" s="83" t="s">
        <v>7</v>
      </c>
      <c r="E5" s="82"/>
    </row>
    <row r="6" spans="2:10">
      <c r="B6" s="81" t="s">
        <v>8</v>
      </c>
      <c r="C6" s="156" t="s">
        <v>9</v>
      </c>
      <c r="E6" s="82"/>
      <c r="I6" s="5"/>
    </row>
    <row r="7" spans="2:10">
      <c r="B7" s="81" t="s">
        <v>10</v>
      </c>
      <c r="C7" s="143" t="s">
        <v>11</v>
      </c>
      <c r="E7" s="82"/>
    </row>
    <row r="8" spans="2:10" ht="15" thickBot="1">
      <c r="B8" s="84" t="s">
        <v>12</v>
      </c>
      <c r="C8" s="157" t="s">
        <v>13</v>
      </c>
      <c r="D8" s="122"/>
      <c r="E8" s="85"/>
    </row>
    <row r="9" spans="2:10">
      <c r="B9" s="27"/>
    </row>
    <row r="10" spans="2:10">
      <c r="B10" s="86" t="s">
        <v>14</v>
      </c>
      <c r="C10" s="87" t="s">
        <v>15</v>
      </c>
      <c r="D10" s="121"/>
      <c r="E10" s="80"/>
    </row>
    <row r="11" spans="2:10">
      <c r="B11" s="88" t="s">
        <v>16</v>
      </c>
      <c r="C11" s="89">
        <v>46387</v>
      </c>
      <c r="E11" s="82"/>
    </row>
    <row r="12" spans="2:10">
      <c r="B12" s="88" t="s">
        <v>17</v>
      </c>
      <c r="C12" s="89" t="s">
        <v>15</v>
      </c>
      <c r="E12" s="82"/>
    </row>
    <row r="13" spans="2:10" ht="18.75" customHeight="1">
      <c r="B13" s="90" t="s">
        <v>18</v>
      </c>
      <c r="C13" s="91" t="s">
        <v>15</v>
      </c>
      <c r="D13" s="122"/>
      <c r="E13" s="85"/>
    </row>
    <row r="14" spans="2:10" ht="15.75" customHeight="1"/>
    <row r="15" spans="2:10" ht="17.25" customHeight="1">
      <c r="B15" s="27" t="s">
        <v>19</v>
      </c>
    </row>
    <row r="16" spans="2:10" ht="17.25" customHeight="1">
      <c r="B16" s="92" t="s">
        <v>20</v>
      </c>
      <c r="C16" s="106" t="s">
        <v>21</v>
      </c>
      <c r="D16" s="123" t="s">
        <v>22</v>
      </c>
      <c r="E16" s="106" t="s">
        <v>23</v>
      </c>
      <c r="F16" s="107" t="s">
        <v>24</v>
      </c>
      <c r="J16" s="158" t="s">
        <v>0</v>
      </c>
    </row>
    <row r="17" spans="2:10" ht="15.75" customHeight="1">
      <c r="B17" s="22"/>
      <c r="C17" s="45" t="s">
        <v>25</v>
      </c>
      <c r="D17" s="23"/>
      <c r="E17" s="22"/>
      <c r="F17" s="132"/>
      <c r="J17" s="158" t="s">
        <v>26</v>
      </c>
    </row>
    <row r="18" spans="2:10" ht="15.75" customHeight="1">
      <c r="B18" s="22"/>
      <c r="C18" s="45" t="s">
        <v>27</v>
      </c>
      <c r="D18" s="23"/>
      <c r="E18" s="22"/>
      <c r="F18" s="132"/>
    </row>
    <row r="19" spans="2:10" ht="17.25" customHeight="1">
      <c r="B19" s="22"/>
      <c r="C19" s="45" t="s">
        <v>28</v>
      </c>
      <c r="D19" s="23"/>
      <c r="E19" s="22"/>
      <c r="F19" s="132"/>
    </row>
    <row r="20" spans="2:10" ht="17.25" customHeight="1">
      <c r="B20" s="22"/>
      <c r="C20" s="45"/>
      <c r="D20" s="23"/>
      <c r="E20" s="22"/>
      <c r="F20" s="132"/>
    </row>
    <row r="21" spans="2:10" ht="17.25" customHeight="1">
      <c r="B21" s="22"/>
      <c r="C21" s="45"/>
      <c r="D21" s="23"/>
      <c r="E21" s="22"/>
      <c r="F21" s="110"/>
    </row>
    <row r="22" spans="2:10" ht="17.25" customHeight="1">
      <c r="B22" s="22"/>
      <c r="C22" s="45"/>
      <c r="D22" s="23" t="s">
        <v>0</v>
      </c>
      <c r="E22" s="22"/>
      <c r="F22" s="110"/>
    </row>
    <row r="23" spans="2:10" ht="18" customHeight="1">
      <c r="B23" s="93"/>
      <c r="C23" s="45"/>
      <c r="D23" s="23"/>
      <c r="E23" s="22"/>
      <c r="F23" s="110"/>
      <c r="J23" t="s">
        <v>0</v>
      </c>
    </row>
    <row r="24" spans="2:10" ht="15" customHeight="1">
      <c r="B24" s="93"/>
      <c r="C24" s="8"/>
      <c r="D24" s="23"/>
      <c r="E24" s="94"/>
      <c r="F24" s="8"/>
    </row>
    <row r="25" spans="2:10" ht="18" customHeight="1">
      <c r="B25" s="93"/>
      <c r="C25" s="8"/>
      <c r="D25" s="23"/>
      <c r="E25" s="94"/>
      <c r="F25" s="8"/>
    </row>
    <row r="26" spans="2:10" ht="17.25" customHeight="1">
      <c r="B26" s="93"/>
      <c r="C26" s="8"/>
      <c r="D26" s="23"/>
      <c r="E26" s="94"/>
      <c r="F26" s="8"/>
    </row>
    <row r="27" spans="2:10" ht="18" customHeight="1">
      <c r="B27" s="94"/>
      <c r="C27" s="45"/>
      <c r="D27" s="23"/>
      <c r="E27" s="94"/>
      <c r="F27" s="8"/>
    </row>
    <row r="28" spans="2:10" ht="18" customHeight="1">
      <c r="B28" s="94"/>
      <c r="C28" s="45"/>
      <c r="D28" s="23"/>
      <c r="E28" s="94"/>
      <c r="F28" s="8"/>
    </row>
    <row r="29" spans="2:10" ht="18" customHeight="1">
      <c r="B29" s="93"/>
      <c r="C29" s="45"/>
      <c r="D29" s="23"/>
      <c r="E29" s="93"/>
      <c r="F29" s="8"/>
    </row>
    <row r="30" spans="2:10" ht="18" customHeight="1">
      <c r="B30" s="93"/>
      <c r="C30" s="45"/>
      <c r="D30" s="23"/>
      <c r="E30" s="93"/>
      <c r="F30" s="8"/>
    </row>
    <row r="31" spans="2:10" ht="18" customHeight="1">
      <c r="B31" s="93"/>
      <c r="C31" s="45"/>
      <c r="D31" s="23"/>
      <c r="E31" s="93"/>
      <c r="F31" s="8"/>
    </row>
    <row r="32" spans="2:10" ht="17.25" customHeight="1">
      <c r="B32" s="93"/>
      <c r="C32" s="8"/>
      <c r="D32" s="23"/>
      <c r="E32" s="93"/>
      <c r="F32" s="8"/>
    </row>
    <row r="33" spans="2:6" ht="18" customHeight="1">
      <c r="B33" s="93"/>
      <c r="C33" s="45"/>
      <c r="D33" s="23"/>
      <c r="E33" s="93"/>
      <c r="F33" s="8"/>
    </row>
    <row r="34" spans="2:6" ht="17.25" customHeight="1">
      <c r="B34" s="93"/>
      <c r="C34" s="8"/>
      <c r="D34" s="23"/>
      <c r="E34" s="94"/>
      <c r="F34" s="8"/>
    </row>
    <row r="35" spans="2:6" ht="18.75" customHeight="1">
      <c r="B35" s="94"/>
      <c r="C35" s="8"/>
      <c r="D35" s="23"/>
      <c r="E35" s="94"/>
      <c r="F35" s="8"/>
    </row>
    <row r="36" spans="2:6">
      <c r="B36" s="94"/>
      <c r="C36" s="45"/>
      <c r="D36" s="23"/>
      <c r="E36" s="94"/>
      <c r="F36" s="8"/>
    </row>
    <row r="37" spans="2:6">
      <c r="B37" s="94"/>
      <c r="C37" s="8"/>
      <c r="D37" s="23"/>
      <c r="E37" s="94"/>
      <c r="F37" s="8"/>
    </row>
    <row r="38" spans="2:6">
      <c r="B38" s="94"/>
      <c r="C38" s="8"/>
      <c r="D38" s="23"/>
      <c r="E38" s="94"/>
      <c r="F38" s="8"/>
    </row>
    <row r="39" spans="2:6">
      <c r="B39" s="94"/>
      <c r="C39" s="8"/>
      <c r="D39" s="23"/>
      <c r="E39" s="94"/>
      <c r="F39" s="8"/>
    </row>
    <row r="40" spans="2:6">
      <c r="B40" s="94"/>
      <c r="C40" s="8"/>
      <c r="D40" s="23"/>
      <c r="E40" s="94"/>
      <c r="F40" s="8"/>
    </row>
    <row r="41" spans="2:6">
      <c r="B41" s="108"/>
      <c r="C41" s="109"/>
      <c r="D41" s="124"/>
      <c r="E41" s="108"/>
      <c r="F41" s="96"/>
    </row>
    <row r="42" spans="2:6">
      <c r="B42" s="95"/>
      <c r="C42" s="96"/>
      <c r="D42" s="125"/>
      <c r="E42" s="94"/>
      <c r="F42" s="82"/>
    </row>
    <row r="43" spans="2:6">
      <c r="B43" s="94"/>
      <c r="C43" s="8"/>
      <c r="D43" s="126"/>
      <c r="E43" s="94"/>
      <c r="F43" s="97"/>
    </row>
    <row r="44" spans="2:6">
      <c r="B44" s="98"/>
      <c r="C44" s="99"/>
      <c r="D44" s="14"/>
      <c r="E44" s="100"/>
      <c r="F44" s="101"/>
    </row>
    <row r="45" spans="2:6">
      <c r="B45" s="102"/>
      <c r="C45" s="103"/>
      <c r="D45" s="33"/>
      <c r="E45" s="103"/>
      <c r="F45" s="104"/>
    </row>
    <row r="46" spans="2:6">
      <c r="B46" s="105"/>
      <c r="C46" s="105"/>
      <c r="E46" s="105"/>
    </row>
  </sheetData>
  <mergeCells count="2">
    <mergeCell ref="C3:E3"/>
    <mergeCell ref="C4:E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F455-77DB-4A4C-B6E0-336BB957FDF9}">
  <dimension ref="A1:H3"/>
  <sheetViews>
    <sheetView workbookViewId="0">
      <selection activeCell="F18" sqref="F18"/>
    </sheetView>
  </sheetViews>
  <sheetFormatPr defaultRowHeight="14.45"/>
  <cols>
    <col min="1" max="1" width="11.125" bestFit="1" customWidth="1"/>
    <col min="2" max="2" width="16.5" customWidth="1"/>
    <col min="3" max="3" width="10.5" bestFit="1" customWidth="1"/>
    <col min="6" max="6" width="13.125" bestFit="1" customWidth="1"/>
    <col min="7" max="7" width="14" bestFit="1" customWidth="1"/>
  </cols>
  <sheetData>
    <row r="1" spans="1:8">
      <c r="A1" s="158" t="s">
        <v>29</v>
      </c>
      <c r="B1" s="140" t="s">
        <v>30</v>
      </c>
      <c r="C1" s="158" t="s">
        <v>31</v>
      </c>
      <c r="D1" s="158" t="s">
        <v>32</v>
      </c>
      <c r="E1" t="s">
        <v>33</v>
      </c>
      <c r="F1" t="s">
        <v>34</v>
      </c>
      <c r="G1" t="s">
        <v>35</v>
      </c>
      <c r="H1" t="s">
        <v>36</v>
      </c>
    </row>
    <row r="2" spans="1:8">
      <c r="A2" s="141"/>
      <c r="B2" s="16"/>
      <c r="C2" s="158"/>
      <c r="F2" s="159"/>
    </row>
    <row r="3" spans="1:8">
      <c r="A3" s="141"/>
      <c r="B3" s="160"/>
      <c r="C3" s="158"/>
      <c r="F3" s="1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  <pageSetUpPr fitToPage="1"/>
  </sheetPr>
  <dimension ref="A2:K21"/>
  <sheetViews>
    <sheetView showGridLines="0" topLeftCell="A4" workbookViewId="0">
      <selection activeCell="E19" sqref="E19"/>
    </sheetView>
  </sheetViews>
  <sheetFormatPr defaultColWidth="9" defaultRowHeight="14.45"/>
  <cols>
    <col min="1" max="1" width="29" customWidth="1"/>
    <col min="2" max="4" width="11.125" customWidth="1"/>
    <col min="5" max="5" width="15.875" customWidth="1"/>
    <col min="6" max="6" width="13.625" style="65" customWidth="1"/>
    <col min="7" max="7" width="32.375" customWidth="1"/>
    <col min="8" max="8" width="12.5" customWidth="1"/>
    <col min="9" max="9" width="13.5" bestFit="1" customWidth="1"/>
    <col min="10" max="10" width="21.625" bestFit="1" customWidth="1"/>
    <col min="11" max="11" width="23.125" customWidth="1"/>
  </cols>
  <sheetData>
    <row r="2" spans="1:11">
      <c r="A2" s="2" t="str">
        <f>'Home '!C3</f>
        <v>BANZOTA PTE. LTD.</v>
      </c>
      <c r="B2" s="3"/>
      <c r="C2" s="3"/>
      <c r="D2" s="3"/>
      <c r="E2" s="3"/>
      <c r="F2" s="66"/>
      <c r="G2" s="3"/>
      <c r="H2" s="3"/>
    </row>
    <row r="3" spans="1:11">
      <c r="A3" s="3" t="str">
        <f>'Home '!C4</f>
        <v> 202613040H</v>
      </c>
      <c r="B3" s="3"/>
      <c r="C3" s="3"/>
      <c r="D3" s="3"/>
      <c r="E3" s="3"/>
      <c r="F3" s="66"/>
      <c r="G3" s="3" t="str">
        <f>'Home '!F2</f>
        <v>Last updated</v>
      </c>
      <c r="H3" s="4">
        <f>'Home '!G2</f>
        <v>46087</v>
      </c>
    </row>
    <row r="5" spans="1:11">
      <c r="A5" s="5" t="s">
        <v>37</v>
      </c>
    </row>
    <row r="6" spans="1:11">
      <c r="F6"/>
      <c r="G6" s="65"/>
    </row>
    <row r="7" spans="1:11" ht="43.5">
      <c r="A7" s="21" t="s">
        <v>30</v>
      </c>
      <c r="B7" s="21" t="s">
        <v>38</v>
      </c>
      <c r="C7" s="21" t="s">
        <v>39</v>
      </c>
      <c r="D7" s="21" t="s">
        <v>40</v>
      </c>
      <c r="E7" s="21" t="s">
        <v>41</v>
      </c>
      <c r="F7" s="21" t="s">
        <v>42</v>
      </c>
      <c r="G7" s="21" t="s">
        <v>43</v>
      </c>
      <c r="H7" s="21" t="s">
        <v>44</v>
      </c>
      <c r="I7" s="135" t="s">
        <v>45</v>
      </c>
      <c r="J7" s="131" t="s">
        <v>46</v>
      </c>
      <c r="K7" s="131" t="s">
        <v>47</v>
      </c>
    </row>
    <row r="8" spans="1:11" ht="37.5" customHeight="1">
      <c r="A8" s="144" t="s">
        <v>48</v>
      </c>
      <c r="B8" s="16" t="s">
        <v>49</v>
      </c>
      <c r="C8" s="144" t="s">
        <v>50</v>
      </c>
      <c r="D8" s="17">
        <v>37408</v>
      </c>
      <c r="E8" s="17">
        <v>48620</v>
      </c>
      <c r="F8" s="16" t="s">
        <v>51</v>
      </c>
      <c r="G8" s="144" t="s">
        <v>52</v>
      </c>
      <c r="H8" s="161">
        <v>46105</v>
      </c>
      <c r="I8" s="16" t="s">
        <v>0</v>
      </c>
      <c r="J8" s="144" t="s">
        <v>53</v>
      </c>
      <c r="K8" s="138" t="s">
        <v>54</v>
      </c>
    </row>
    <row r="9" spans="1:11" ht="18.75" customHeight="1">
      <c r="F9"/>
      <c r="G9" s="65"/>
    </row>
    <row r="10" spans="1:11" ht="20.25" customHeight="1">
      <c r="A10" s="5" t="s">
        <v>55</v>
      </c>
    </row>
    <row r="11" spans="1:11" ht="63" customHeight="1">
      <c r="A11" s="21" t="s">
        <v>30</v>
      </c>
      <c r="B11" s="21" t="s">
        <v>38</v>
      </c>
      <c r="C11" s="21" t="s">
        <v>56</v>
      </c>
      <c r="D11" s="21" t="s">
        <v>40</v>
      </c>
      <c r="E11" s="21" t="s">
        <v>41</v>
      </c>
      <c r="F11" s="21" t="s">
        <v>42</v>
      </c>
      <c r="G11" s="21" t="s">
        <v>43</v>
      </c>
      <c r="H11" s="21" t="s">
        <v>44</v>
      </c>
      <c r="I11" s="21" t="s">
        <v>45</v>
      </c>
    </row>
    <row r="12" spans="1:11" ht="33.950000000000003" customHeight="1">
      <c r="A12" s="12" t="s">
        <v>57</v>
      </c>
      <c r="B12" s="23" t="s">
        <v>49</v>
      </c>
      <c r="C12" s="25" t="s">
        <v>58</v>
      </c>
      <c r="D12" s="44">
        <v>29458</v>
      </c>
      <c r="E12" s="44" t="s">
        <v>59</v>
      </c>
      <c r="F12" s="12" t="s">
        <v>60</v>
      </c>
      <c r="G12" s="40" t="s">
        <v>61</v>
      </c>
      <c r="H12" s="161">
        <v>46105</v>
      </c>
      <c r="I12" s="44"/>
    </row>
    <row r="13" spans="1:11">
      <c r="A13" s="8"/>
      <c r="B13" s="23"/>
      <c r="C13" s="8"/>
      <c r="D13" s="8"/>
      <c r="E13" s="8"/>
      <c r="F13" s="12"/>
      <c r="G13" s="45"/>
      <c r="H13" s="44"/>
      <c r="I13" s="44"/>
    </row>
    <row r="14" spans="1:11">
      <c r="A14" s="25"/>
      <c r="B14" s="25"/>
      <c r="C14" s="25"/>
      <c r="D14" s="25"/>
      <c r="E14" s="25"/>
      <c r="F14" s="25"/>
      <c r="G14" s="45"/>
      <c r="H14" s="77"/>
      <c r="I14" s="77"/>
    </row>
    <row r="17" spans="1:8" ht="43.5">
      <c r="A17" s="145" t="s">
        <v>30</v>
      </c>
      <c r="B17" s="145" t="s">
        <v>39</v>
      </c>
      <c r="C17" s="145" t="s">
        <v>62</v>
      </c>
      <c r="D17" s="145" t="s">
        <v>42</v>
      </c>
      <c r="E17" s="145" t="s">
        <v>43</v>
      </c>
      <c r="F17" s="145" t="s">
        <v>46</v>
      </c>
      <c r="G17" s="145" t="s">
        <v>47</v>
      </c>
      <c r="H17" s="146" t="s">
        <v>63</v>
      </c>
    </row>
    <row r="18" spans="1:8" ht="29.1">
      <c r="A18" s="8" t="s">
        <v>48</v>
      </c>
      <c r="B18" s="8" t="s">
        <v>50</v>
      </c>
      <c r="C18" s="8" t="s">
        <v>64</v>
      </c>
      <c r="D18" s="8" t="s">
        <v>51</v>
      </c>
      <c r="E18" s="8" t="s">
        <v>52</v>
      </c>
      <c r="F18" s="45" t="s">
        <v>53</v>
      </c>
      <c r="G18" s="8" t="s">
        <v>54</v>
      </c>
      <c r="H18" s="147" t="s">
        <v>65</v>
      </c>
    </row>
    <row r="19" spans="1:8">
      <c r="A19" s="8" t="s">
        <v>57</v>
      </c>
      <c r="B19" s="8" t="s">
        <v>58</v>
      </c>
      <c r="C19" s="8" t="s">
        <v>66</v>
      </c>
      <c r="D19" s="8" t="s">
        <v>67</v>
      </c>
      <c r="E19" s="8" t="s">
        <v>61</v>
      </c>
      <c r="F19" s="45">
        <v>81753514</v>
      </c>
      <c r="G19" s="136" t="s">
        <v>68</v>
      </c>
      <c r="H19" s="147" t="s">
        <v>69</v>
      </c>
    </row>
    <row r="20" spans="1:8">
      <c r="A20" s="8"/>
      <c r="B20" s="8"/>
      <c r="C20" s="8"/>
      <c r="D20" s="8"/>
      <c r="E20" s="8"/>
      <c r="F20" s="45"/>
      <c r="G20" s="8"/>
    </row>
    <row r="21" spans="1:8">
      <c r="A21" s="8"/>
      <c r="B21" s="8"/>
      <c r="C21" s="8"/>
      <c r="D21" s="8"/>
      <c r="E21" s="8"/>
      <c r="F21" s="45"/>
      <c r="G21" s="8"/>
    </row>
  </sheetData>
  <hyperlinks>
    <hyperlink ref="K8" r:id="rId1" xr:uid="{C7E52183-0987-4925-A489-772C904AE1BE}"/>
    <hyperlink ref="G19" r:id="rId2" xr:uid="{0B3753FF-E970-47FD-87AF-7641B597C928}"/>
  </hyperlinks>
  <pageMargins left="0.7" right="0.7" top="0.75" bottom="0.75" header="0.3" footer="0.3"/>
  <pageSetup paperSize="9" scale="67"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  <pageSetUpPr fitToPage="1"/>
  </sheetPr>
  <dimension ref="A2:H11"/>
  <sheetViews>
    <sheetView showGridLines="0" workbookViewId="0">
      <selection activeCell="R5" sqref="R5"/>
    </sheetView>
  </sheetViews>
  <sheetFormatPr defaultColWidth="9" defaultRowHeight="14.45"/>
  <cols>
    <col min="1" max="1" width="23.125" customWidth="1"/>
    <col min="2" max="2" width="11.125" customWidth="1"/>
    <col min="3" max="3" width="11.5" customWidth="1"/>
    <col min="4" max="4" width="15" bestFit="1" customWidth="1"/>
    <col min="5" max="5" width="28.875" style="65" customWidth="1"/>
    <col min="6" max="6" width="13.125" customWidth="1"/>
    <col min="7" max="7" width="13.5" customWidth="1"/>
  </cols>
  <sheetData>
    <row r="2" spans="1:8">
      <c r="A2" s="2" t="str">
        <f>Directors!A2</f>
        <v>BANZOTA PTE. LTD.</v>
      </c>
      <c r="B2" s="3"/>
      <c r="C2" s="3"/>
      <c r="D2" s="3"/>
      <c r="E2" s="66"/>
      <c r="F2" s="3" t="str">
        <f>'Home '!F2</f>
        <v>Last updated</v>
      </c>
      <c r="G2" s="4">
        <f>'Home '!G2</f>
        <v>46087</v>
      </c>
    </row>
    <row r="3" spans="1:8">
      <c r="A3" s="3" t="str">
        <f>'Home '!C4</f>
        <v> 202613040H</v>
      </c>
      <c r="B3" s="3"/>
      <c r="C3" s="3"/>
      <c r="D3" s="3"/>
      <c r="E3" s="66"/>
      <c r="F3" s="3"/>
      <c r="G3" s="3"/>
    </row>
    <row r="5" spans="1:8">
      <c r="A5" s="5" t="s">
        <v>70</v>
      </c>
    </row>
    <row r="7" spans="1:8" s="42" customFormat="1" ht="43.5">
      <c r="A7" s="67" t="s">
        <v>30</v>
      </c>
      <c r="B7" s="68" t="s">
        <v>71</v>
      </c>
      <c r="C7" s="68" t="s">
        <v>56</v>
      </c>
      <c r="D7" s="68" t="s">
        <v>72</v>
      </c>
      <c r="E7" s="68" t="s">
        <v>43</v>
      </c>
      <c r="F7" s="68" t="s">
        <v>44</v>
      </c>
      <c r="G7" s="69" t="s">
        <v>73</v>
      </c>
      <c r="H7" s="21" t="s">
        <v>74</v>
      </c>
    </row>
    <row r="8" spans="1:8" s="42" customFormat="1" ht="29.1">
      <c r="A8" s="23" t="s">
        <v>75</v>
      </c>
      <c r="B8" s="23" t="s">
        <v>49</v>
      </c>
      <c r="C8" s="25" t="s">
        <v>76</v>
      </c>
      <c r="D8" s="23" t="s">
        <v>77</v>
      </c>
      <c r="E8" s="45" t="s">
        <v>78</v>
      </c>
      <c r="F8" s="161">
        <v>46105</v>
      </c>
      <c r="G8" s="44"/>
      <c r="H8" s="78" t="s">
        <v>0</v>
      </c>
    </row>
    <row r="9" spans="1:8" s="42" customFormat="1">
      <c r="A9" s="70"/>
      <c r="B9" s="23"/>
      <c r="C9" s="12"/>
      <c r="D9" s="12"/>
      <c r="E9" s="40"/>
      <c r="F9" s="17"/>
      <c r="G9" s="71"/>
      <c r="H9" s="12"/>
    </row>
    <row r="10" spans="1:8" s="42" customFormat="1">
      <c r="A10" s="70"/>
      <c r="B10" s="12"/>
      <c r="C10" s="12"/>
      <c r="D10" s="12"/>
      <c r="E10" s="40"/>
      <c r="F10" s="12"/>
      <c r="G10" s="72"/>
      <c r="H10" s="12"/>
    </row>
    <row r="11" spans="1:8" s="42" customFormat="1">
      <c r="A11" s="73"/>
      <c r="B11" s="74"/>
      <c r="C11" s="74"/>
      <c r="D11" s="74"/>
      <c r="E11" s="75"/>
      <c r="F11" s="74"/>
      <c r="G11" s="76"/>
      <c r="H11" s="12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  <pageSetUpPr fitToPage="1"/>
  </sheetPr>
  <dimension ref="A2:F14"/>
  <sheetViews>
    <sheetView workbookViewId="0">
      <selection activeCell="F2" sqref="F2"/>
    </sheetView>
  </sheetViews>
  <sheetFormatPr defaultColWidth="9" defaultRowHeight="14.45"/>
  <cols>
    <col min="1" max="1" width="19" customWidth="1"/>
    <col min="2" max="2" width="14.5" customWidth="1"/>
    <col min="3" max="3" width="43.5" customWidth="1"/>
    <col min="4" max="4" width="15.125" customWidth="1"/>
    <col min="5" max="5" width="14.875" customWidth="1"/>
    <col min="6" max="6" width="23.5" customWidth="1"/>
  </cols>
  <sheetData>
    <row r="2" spans="1:6">
      <c r="A2" s="2" t="str">
        <f>'Home '!C3</f>
        <v>BANZOTA PTE. LTD.</v>
      </c>
      <c r="B2" s="3"/>
      <c r="C2" s="3"/>
      <c r="D2" s="3"/>
      <c r="E2" s="18" t="str">
        <f>'Home '!F2</f>
        <v>Last updated</v>
      </c>
      <c r="F2" s="19">
        <f>'Home '!G2</f>
        <v>46087</v>
      </c>
    </row>
    <row r="3" spans="1:6">
      <c r="A3" s="3" t="str">
        <f>'Home '!C4</f>
        <v> 202613040H</v>
      </c>
      <c r="B3" s="3"/>
      <c r="C3" s="3"/>
      <c r="D3" s="3"/>
      <c r="E3" s="3"/>
      <c r="F3" s="3"/>
    </row>
    <row r="5" spans="1:6">
      <c r="A5" s="5" t="s">
        <v>79</v>
      </c>
    </row>
    <row r="7" spans="1:6" s="61" customFormat="1" ht="29.1">
      <c r="A7" s="21" t="s">
        <v>80</v>
      </c>
      <c r="B7" s="21" t="s">
        <v>81</v>
      </c>
      <c r="C7" s="21" t="s">
        <v>43</v>
      </c>
      <c r="D7" s="21" t="s">
        <v>82</v>
      </c>
      <c r="E7" s="21" t="s">
        <v>83</v>
      </c>
      <c r="F7" s="21" t="s">
        <v>24</v>
      </c>
    </row>
    <row r="8" spans="1:6">
      <c r="A8" s="62"/>
      <c r="B8" s="23"/>
      <c r="C8" s="63"/>
      <c r="D8" s="44"/>
      <c r="E8" s="64"/>
      <c r="F8" s="8"/>
    </row>
    <row r="9" spans="1:6">
      <c r="A9" s="8"/>
      <c r="B9" s="8"/>
      <c r="C9" s="8"/>
      <c r="D9" s="64"/>
      <c r="E9" s="64"/>
      <c r="F9" s="8"/>
    </row>
    <row r="10" spans="1:6">
      <c r="A10" s="8"/>
      <c r="B10" s="8"/>
      <c r="C10" s="8"/>
      <c r="D10" s="64"/>
      <c r="E10" s="64"/>
      <c r="F10" s="8"/>
    </row>
    <row r="11" spans="1:6">
      <c r="A11" s="8"/>
      <c r="B11" s="8"/>
      <c r="C11" s="8"/>
      <c r="D11" s="64"/>
      <c r="E11" s="64"/>
      <c r="F11" s="8"/>
    </row>
    <row r="12" spans="1:6">
      <c r="A12" s="8"/>
      <c r="B12" s="8"/>
      <c r="C12" s="8"/>
      <c r="D12" s="64"/>
      <c r="E12" s="64"/>
      <c r="F12" s="8"/>
    </row>
    <row r="13" spans="1:6">
      <c r="A13" s="8"/>
      <c r="B13" s="8"/>
      <c r="C13" s="8"/>
      <c r="D13" s="64"/>
      <c r="E13" s="64"/>
      <c r="F13" s="8"/>
    </row>
    <row r="14" spans="1:6">
      <c r="A14" s="8"/>
      <c r="B14" s="8"/>
      <c r="C14" s="8"/>
      <c r="D14" s="64"/>
      <c r="E14" s="64"/>
      <c r="F14" s="8"/>
    </row>
  </sheetData>
  <pageMargins left="0.7" right="0.7" top="0.75" bottom="0.75" header="0.3" footer="0.3"/>
  <pageSetup paperSize="9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I22"/>
  <sheetViews>
    <sheetView showGridLines="0" workbookViewId="0">
      <selection activeCell="F8" sqref="F8"/>
    </sheetView>
  </sheetViews>
  <sheetFormatPr defaultColWidth="9" defaultRowHeight="14.45"/>
  <cols>
    <col min="2" max="2" width="26.5" customWidth="1"/>
    <col min="3" max="3" width="14.5" customWidth="1"/>
    <col min="4" max="4" width="15.5" customWidth="1"/>
    <col min="5" max="5" width="35.875" customWidth="1"/>
    <col min="6" max="6" width="19.5" customWidth="1"/>
    <col min="7" max="7" width="27.125" customWidth="1"/>
    <col min="8" max="8" width="31.875" bestFit="1" customWidth="1"/>
    <col min="9" max="9" width="15.5" customWidth="1"/>
    <col min="10" max="10" width="13.875" customWidth="1"/>
    <col min="11" max="11" width="19.5" customWidth="1"/>
  </cols>
  <sheetData>
    <row r="1" spans="1:9">
      <c r="F1" s="27"/>
    </row>
    <row r="2" spans="1:9" ht="15.95" customHeight="1">
      <c r="A2" s="2" t="str">
        <f>'Home '!C3</f>
        <v>BANZOTA PTE. LTD.</v>
      </c>
      <c r="B2" s="3"/>
      <c r="C2" s="3"/>
      <c r="D2" s="43"/>
      <c r="E2" s="3"/>
      <c r="F2" s="3" t="str">
        <f>'Home '!F2</f>
        <v>Last updated</v>
      </c>
      <c r="G2" s="4">
        <f>'Home '!G2</f>
        <v>46087</v>
      </c>
    </row>
    <row r="3" spans="1:9">
      <c r="A3" s="3" t="str">
        <f>'Home '!C4</f>
        <v> 202613040H</v>
      </c>
      <c r="B3" s="3"/>
      <c r="C3" s="3"/>
      <c r="D3" s="3"/>
      <c r="E3" s="3"/>
      <c r="F3" s="3"/>
      <c r="G3" s="3"/>
    </row>
    <row r="5" spans="1:9">
      <c r="A5" s="5" t="s">
        <v>84</v>
      </c>
    </row>
    <row r="7" spans="1:9" ht="43.5">
      <c r="A7" s="21" t="s">
        <v>85</v>
      </c>
      <c r="B7" s="21" t="s">
        <v>86</v>
      </c>
      <c r="C7" s="21" t="s">
        <v>87</v>
      </c>
      <c r="D7" s="21" t="s">
        <v>88</v>
      </c>
      <c r="E7" s="21" t="s">
        <v>43</v>
      </c>
      <c r="F7" s="21" t="s">
        <v>89</v>
      </c>
      <c r="G7" s="21" t="s">
        <v>90</v>
      </c>
      <c r="H7" s="21" t="s">
        <v>91</v>
      </c>
      <c r="I7" s="21" t="s">
        <v>92</v>
      </c>
    </row>
    <row r="8" spans="1:9" ht="14.45" customHeight="1">
      <c r="A8" s="25">
        <v>1</v>
      </c>
      <c r="B8" s="160" t="s">
        <v>93</v>
      </c>
      <c r="C8" s="162" t="s">
        <v>94</v>
      </c>
      <c r="D8" s="23" t="s">
        <v>95</v>
      </c>
      <c r="E8" s="163" t="s">
        <v>13</v>
      </c>
      <c r="F8" s="22">
        <v>46105</v>
      </c>
      <c r="G8" s="8"/>
      <c r="H8" s="136" t="s">
        <v>0</v>
      </c>
      <c r="I8" s="8" t="s">
        <v>0</v>
      </c>
    </row>
    <row r="9" spans="1:9" ht="18.75" customHeight="1">
      <c r="A9" s="25" t="s">
        <v>0</v>
      </c>
      <c r="B9" s="16"/>
      <c r="C9" s="25"/>
      <c r="D9" s="23"/>
      <c r="E9" s="16"/>
      <c r="F9" s="22"/>
      <c r="G9" s="22"/>
      <c r="H9" s="8"/>
      <c r="I9" s="8"/>
    </row>
    <row r="10" spans="1:9" ht="19.5" customHeight="1">
      <c r="A10" s="25"/>
      <c r="B10" s="16"/>
      <c r="C10" s="25"/>
      <c r="D10" s="23"/>
      <c r="E10" s="16"/>
      <c r="F10" s="22"/>
      <c r="G10" s="22"/>
      <c r="H10" s="8"/>
      <c r="I10" s="8"/>
    </row>
    <row r="11" spans="1:9" ht="19.5" customHeight="1">
      <c r="B11" s="41"/>
      <c r="C11" s="41"/>
      <c r="D11" s="46"/>
      <c r="E11" s="41"/>
      <c r="F11" s="47"/>
      <c r="G11" s="47"/>
    </row>
    <row r="13" spans="1:9">
      <c r="A13" s="5" t="s">
        <v>96</v>
      </c>
    </row>
    <row r="14" spans="1:9">
      <c r="A14" s="5"/>
    </row>
    <row r="15" spans="1:9">
      <c r="A15" s="48"/>
      <c r="B15" s="49"/>
      <c r="C15" s="151" t="s">
        <v>97</v>
      </c>
      <c r="D15" s="151"/>
      <c r="E15" s="151"/>
      <c r="F15" s="151"/>
      <c r="G15" s="50"/>
    </row>
    <row r="16" spans="1:9" ht="29.1">
      <c r="A16" s="10" t="s">
        <v>98</v>
      </c>
      <c r="B16" s="11" t="s">
        <v>86</v>
      </c>
      <c r="C16" s="11" t="s">
        <v>20</v>
      </c>
      <c r="D16" s="11" t="s">
        <v>99</v>
      </c>
      <c r="E16" s="11" t="s">
        <v>100</v>
      </c>
      <c r="F16" s="11" t="s">
        <v>101</v>
      </c>
      <c r="G16" s="20" t="s">
        <v>24</v>
      </c>
    </row>
    <row r="17" spans="1:7">
      <c r="A17" s="51">
        <v>1</v>
      </c>
      <c r="B17" s="160" t="s">
        <v>93</v>
      </c>
      <c r="C17" s="111" t="s">
        <v>0</v>
      </c>
      <c r="D17" s="14">
        <v>1</v>
      </c>
      <c r="E17" s="137">
        <v>5000</v>
      </c>
      <c r="F17" s="14">
        <v>5000</v>
      </c>
      <c r="G17" s="53"/>
    </row>
    <row r="18" spans="1:7">
      <c r="A18" s="51"/>
      <c r="B18" s="54"/>
      <c r="C18" s="52"/>
      <c r="D18" s="14"/>
      <c r="E18" s="14"/>
      <c r="F18" s="14"/>
      <c r="G18" s="53"/>
    </row>
    <row r="19" spans="1:7">
      <c r="A19" s="51"/>
      <c r="B19" s="54"/>
      <c r="C19" s="52"/>
      <c r="D19" s="14"/>
      <c r="E19" s="14"/>
      <c r="F19" s="14"/>
      <c r="G19" s="53"/>
    </row>
    <row r="20" spans="1:7">
      <c r="A20" s="51"/>
      <c r="B20" s="54"/>
      <c r="C20" s="52"/>
      <c r="D20" s="14"/>
      <c r="E20" s="14"/>
      <c r="F20" s="14"/>
      <c r="G20" s="53"/>
    </row>
    <row r="21" spans="1:7">
      <c r="A21" s="55"/>
      <c r="B21" s="56"/>
      <c r="C21" s="57" t="s">
        <v>102</v>
      </c>
      <c r="D21" s="56"/>
      <c r="E21" s="58">
        <f>SUM(E17:E20)</f>
        <v>5000</v>
      </c>
      <c r="F21" s="58">
        <f>SUM(F17:F20)</f>
        <v>5000</v>
      </c>
      <c r="G21" s="59"/>
    </row>
    <row r="22" spans="1:7">
      <c r="E22" s="60"/>
    </row>
  </sheetData>
  <mergeCells count="1">
    <mergeCell ref="C15:F15"/>
  </mergeCells>
  <pageMargins left="0.7" right="0.7" top="0.75" bottom="0.75" header="0.3" footer="0.3"/>
  <pageSetup paperSize="9"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2:L21"/>
  <sheetViews>
    <sheetView showGridLines="0" topLeftCell="B4" workbookViewId="0">
      <selection activeCell="D8" sqref="D8"/>
    </sheetView>
  </sheetViews>
  <sheetFormatPr defaultColWidth="9" defaultRowHeight="14.45"/>
  <cols>
    <col min="1" max="1" width="4.125" customWidth="1"/>
    <col min="2" max="2" width="11.125" customWidth="1"/>
    <col min="3" max="3" width="26.125" customWidth="1"/>
    <col min="4" max="4" width="14.875" customWidth="1"/>
    <col min="5" max="6" width="21.875" customWidth="1"/>
    <col min="7" max="7" width="12.5" customWidth="1"/>
    <col min="8" max="8" width="24.5" customWidth="1"/>
    <col min="9" max="9" width="23.875" customWidth="1"/>
    <col min="10" max="10" width="15.5" customWidth="1"/>
    <col min="11" max="11" width="17.875" customWidth="1"/>
    <col min="12" max="12" width="9.5" bestFit="1" customWidth="1"/>
  </cols>
  <sheetData>
    <row r="2" spans="2:12">
      <c r="B2" s="3" t="str">
        <f>'Home '!C3</f>
        <v>BANZOTA PTE. LTD.</v>
      </c>
      <c r="C2" s="3"/>
      <c r="D2" s="3"/>
      <c r="E2" s="3"/>
      <c r="F2" s="3"/>
      <c r="G2" s="3"/>
      <c r="H2" s="3"/>
      <c r="I2" s="3"/>
    </row>
    <row r="3" spans="2:12">
      <c r="B3" s="3" t="str">
        <f>'Home '!C4</f>
        <v> 202613040H</v>
      </c>
      <c r="C3" s="3"/>
      <c r="D3" s="3"/>
      <c r="E3" s="3"/>
      <c r="F3" s="3"/>
      <c r="G3" s="3"/>
      <c r="H3" s="3" t="str">
        <f>'Home '!F2</f>
        <v>Last updated</v>
      </c>
      <c r="I3" s="4">
        <f>'Home '!G2</f>
        <v>46087</v>
      </c>
    </row>
    <row r="5" spans="2:12">
      <c r="B5" s="5" t="s">
        <v>103</v>
      </c>
    </row>
    <row r="7" spans="2:12" ht="29.1">
      <c r="B7" s="21" t="s">
        <v>104</v>
      </c>
      <c r="C7" s="21" t="s">
        <v>105</v>
      </c>
      <c r="D7" s="21" t="s">
        <v>71</v>
      </c>
      <c r="E7" s="21" t="s">
        <v>87</v>
      </c>
      <c r="F7" s="21" t="s">
        <v>42</v>
      </c>
      <c r="G7" s="21" t="s">
        <v>40</v>
      </c>
      <c r="H7" s="21" t="s">
        <v>43</v>
      </c>
      <c r="I7" s="21" t="s">
        <v>106</v>
      </c>
      <c r="J7" s="21" t="s">
        <v>46</v>
      </c>
      <c r="K7" s="21" t="s">
        <v>91</v>
      </c>
      <c r="L7" s="21" t="s">
        <v>107</v>
      </c>
    </row>
    <row r="8" spans="2:12" ht="43.5">
      <c r="B8" s="22">
        <v>46105</v>
      </c>
      <c r="C8" s="160" t="s">
        <v>93</v>
      </c>
      <c r="D8" s="25" t="s">
        <v>108</v>
      </c>
      <c r="E8" s="162" t="s">
        <v>94</v>
      </c>
      <c r="F8" s="160" t="s">
        <v>109</v>
      </c>
      <c r="G8" s="17">
        <v>45784</v>
      </c>
      <c r="H8" s="163" t="s">
        <v>13</v>
      </c>
      <c r="I8" s="16"/>
      <c r="J8" s="144"/>
      <c r="K8" s="138"/>
      <c r="L8" s="142"/>
    </row>
    <row r="9" spans="2:12">
      <c r="B9" s="139"/>
      <c r="C9" s="144"/>
      <c r="D9" s="25"/>
      <c r="E9" s="144"/>
      <c r="F9" s="16"/>
      <c r="G9" s="17"/>
      <c r="H9" s="144"/>
      <c r="I9" s="16"/>
      <c r="J9" s="144"/>
      <c r="K9" s="138"/>
      <c r="L9" s="17"/>
    </row>
    <row r="10" spans="2:12"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8"/>
    </row>
    <row r="11" spans="2:12"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8"/>
    </row>
    <row r="12" spans="2:12"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8"/>
    </row>
    <row r="13" spans="2:12">
      <c r="B13" s="41"/>
      <c r="C13" s="41"/>
      <c r="D13" s="41"/>
      <c r="E13" s="41"/>
      <c r="F13" s="41"/>
      <c r="G13" s="41"/>
      <c r="H13" s="41"/>
      <c r="I13" s="41"/>
    </row>
    <row r="14" spans="2:12">
      <c r="B14" s="42"/>
      <c r="C14" s="41"/>
      <c r="D14" s="41"/>
      <c r="E14" s="41"/>
      <c r="F14" s="41"/>
      <c r="G14" s="41"/>
      <c r="H14" s="41"/>
      <c r="I14" s="41"/>
    </row>
    <row r="15" spans="2:12">
      <c r="B15" s="41"/>
      <c r="C15" s="41"/>
      <c r="D15" s="41"/>
      <c r="E15" s="41"/>
      <c r="F15" s="41"/>
      <c r="G15" s="41"/>
      <c r="H15" s="41"/>
      <c r="I15" s="41"/>
    </row>
    <row r="16" spans="2:12">
      <c r="B16" s="41"/>
      <c r="C16" s="41"/>
      <c r="D16" s="41"/>
      <c r="E16" s="41"/>
      <c r="F16" s="41"/>
      <c r="G16" s="41"/>
      <c r="H16" s="41"/>
      <c r="I16" s="41"/>
    </row>
    <row r="17" spans="2:9">
      <c r="B17" s="41"/>
      <c r="C17" s="41"/>
      <c r="D17" s="41"/>
      <c r="E17" s="41"/>
      <c r="F17" s="41"/>
      <c r="G17" s="41"/>
      <c r="H17" s="41"/>
      <c r="I17" s="41"/>
    </row>
    <row r="18" spans="2:9">
      <c r="B18" s="41"/>
      <c r="C18" s="41"/>
      <c r="D18" s="41"/>
      <c r="E18" s="41"/>
      <c r="F18" s="41"/>
      <c r="G18" s="41"/>
      <c r="H18" s="41"/>
      <c r="I18" s="41"/>
    </row>
    <row r="19" spans="2:9">
      <c r="B19" s="41"/>
      <c r="C19" s="41"/>
      <c r="D19" s="41"/>
      <c r="E19" s="41"/>
      <c r="F19" s="41"/>
      <c r="G19" s="41"/>
      <c r="H19" s="41"/>
      <c r="I19" s="41"/>
    </row>
    <row r="20" spans="2:9">
      <c r="B20" s="41"/>
      <c r="C20" s="41"/>
      <c r="D20" s="41"/>
      <c r="E20" s="41"/>
      <c r="F20" s="41"/>
      <c r="G20" s="41"/>
      <c r="H20" s="41"/>
      <c r="I20" s="41"/>
    </row>
    <row r="21" spans="2:9">
      <c r="B21" s="41"/>
      <c r="C21" s="41"/>
      <c r="D21" s="41"/>
      <c r="E21" s="41"/>
      <c r="F21" s="41"/>
      <c r="G21" s="41"/>
      <c r="H21" s="41"/>
      <c r="I21" s="41"/>
    </row>
  </sheetData>
  <pageMargins left="0.7" right="0.7" top="0.75" bottom="0.75" header="0.3" footer="0.3"/>
  <pageSetup paperSize="9" scale="64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E9E0E-2DBB-40B0-8AB4-F53E6D12F879}">
  <sheetPr>
    <tabColor rgb="FF00B050"/>
  </sheetPr>
  <dimension ref="A2:J17"/>
  <sheetViews>
    <sheetView topLeftCell="B1" workbookViewId="0">
      <selection activeCell="E19" sqref="E19"/>
    </sheetView>
  </sheetViews>
  <sheetFormatPr defaultColWidth="9" defaultRowHeight="14.45"/>
  <cols>
    <col min="1" max="1" width="9" hidden="1" customWidth="1"/>
    <col min="2" max="2" width="9.25" customWidth="1"/>
    <col min="3" max="3" width="27.125" customWidth="1"/>
    <col min="4" max="4" width="28.875" customWidth="1"/>
    <col min="5" max="5" width="22.375" customWidth="1"/>
    <col min="6" max="6" width="23.75" customWidth="1"/>
    <col min="7" max="7" width="13.25" customWidth="1"/>
    <col min="8" max="8" width="14.625" customWidth="1"/>
    <col min="9" max="9" width="23.25" customWidth="1"/>
    <col min="10" max="10" width="19.375" customWidth="1"/>
  </cols>
  <sheetData>
    <row r="2" spans="2:10">
      <c r="B2" t="s">
        <v>0</v>
      </c>
      <c r="C2" s="3" t="str">
        <f>'Home '!C3</f>
        <v>BANZOTA PTE. LTD.</v>
      </c>
      <c r="F2" s="158" t="s">
        <v>0</v>
      </c>
      <c r="G2" s="18" t="str">
        <f>'Home '!F2</f>
        <v>Last updated</v>
      </c>
      <c r="H2" s="19">
        <f>'Home '!G2</f>
        <v>46087</v>
      </c>
    </row>
    <row r="3" spans="2:10">
      <c r="B3" t="s">
        <v>0</v>
      </c>
      <c r="C3" s="3" t="str">
        <f>'Home '!C4</f>
        <v> 202613040H</v>
      </c>
    </row>
    <row r="5" spans="2:10">
      <c r="B5" s="5" t="s">
        <v>110</v>
      </c>
    </row>
    <row r="6" spans="2:10">
      <c r="B6" s="42"/>
      <c r="C6" s="41" t="s">
        <v>111</v>
      </c>
      <c r="D6" s="41"/>
    </row>
    <row r="7" spans="2:10">
      <c r="B7" s="41"/>
      <c r="C7" s="41"/>
      <c r="D7" s="41"/>
    </row>
    <row r="8" spans="2:10">
      <c r="C8" s="41"/>
      <c r="D8" s="41"/>
      <c r="E8" s="41"/>
    </row>
    <row r="9" spans="2:10">
      <c r="B9" s="152" t="s">
        <v>104</v>
      </c>
      <c r="C9" s="152" t="s">
        <v>112</v>
      </c>
      <c r="D9" s="153" t="s">
        <v>113</v>
      </c>
      <c r="E9" s="153"/>
      <c r="F9" s="153"/>
      <c r="G9" s="153"/>
      <c r="H9" s="153"/>
      <c r="I9" s="153"/>
      <c r="J9" s="153"/>
    </row>
    <row r="10" spans="2:10" ht="29.1">
      <c r="B10" s="152"/>
      <c r="C10" s="152"/>
      <c r="D10" s="129" t="s">
        <v>114</v>
      </c>
      <c r="E10" s="130" t="s">
        <v>71</v>
      </c>
      <c r="F10" s="130" t="s">
        <v>115</v>
      </c>
      <c r="G10" s="130" t="s">
        <v>42</v>
      </c>
      <c r="H10" s="130" t="s">
        <v>40</v>
      </c>
      <c r="I10" s="130" t="s">
        <v>116</v>
      </c>
      <c r="J10" s="130" t="s">
        <v>106</v>
      </c>
    </row>
    <row r="11" spans="2:10">
      <c r="B11" s="8"/>
      <c r="C11" s="16"/>
      <c r="D11" s="16"/>
      <c r="E11" s="16"/>
      <c r="F11" s="8"/>
      <c r="G11" s="8"/>
      <c r="H11" s="8"/>
      <c r="I11" s="8"/>
      <c r="J11" s="8"/>
    </row>
    <row r="12" spans="2:10">
      <c r="B12" s="8"/>
      <c r="C12" s="16"/>
      <c r="D12" s="16"/>
      <c r="E12" s="16"/>
      <c r="F12" s="8"/>
      <c r="G12" s="8"/>
      <c r="H12" s="8"/>
      <c r="I12" s="8"/>
      <c r="J12" s="8"/>
    </row>
    <row r="13" spans="2:10">
      <c r="B13" s="8"/>
      <c r="C13" s="16"/>
      <c r="D13" s="16"/>
      <c r="E13" s="16"/>
      <c r="F13" s="8"/>
      <c r="G13" s="8"/>
      <c r="H13" s="8"/>
      <c r="I13" s="8"/>
      <c r="J13" s="8"/>
    </row>
    <row r="14" spans="2:10">
      <c r="B14" s="8"/>
      <c r="C14" s="8"/>
      <c r="D14" s="8"/>
      <c r="E14" s="8"/>
      <c r="F14" s="8"/>
      <c r="G14" s="8"/>
      <c r="H14" s="8"/>
      <c r="I14" s="8"/>
      <c r="J14" s="8"/>
    </row>
    <row r="16" spans="2:10">
      <c r="C16" t="s">
        <v>117</v>
      </c>
    </row>
    <row r="17" spans="3:3">
      <c r="C17" t="s">
        <v>118</v>
      </c>
    </row>
  </sheetData>
  <mergeCells count="3">
    <mergeCell ref="B9:B10"/>
    <mergeCell ref="C9:C10"/>
    <mergeCell ref="D9:J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2:J34"/>
  <sheetViews>
    <sheetView showGridLines="0" workbookViewId="0">
      <selection activeCell="H11" sqref="H11"/>
    </sheetView>
  </sheetViews>
  <sheetFormatPr defaultColWidth="9" defaultRowHeight="14.45"/>
  <cols>
    <col min="1" max="1" width="12" customWidth="1"/>
    <col min="2" max="2" width="11.875" customWidth="1"/>
    <col min="3" max="3" width="32.125" customWidth="1"/>
    <col min="4" max="4" width="15.875" customWidth="1"/>
    <col min="5" max="5" width="11.5" customWidth="1"/>
    <col min="6" max="6" width="10.5" customWidth="1"/>
    <col min="7" max="7" width="14.125" customWidth="1"/>
    <col min="8" max="8" width="9.875" customWidth="1"/>
    <col min="9" max="9" width="12.875" customWidth="1"/>
    <col min="10" max="10" width="28" customWidth="1"/>
  </cols>
  <sheetData>
    <row r="2" spans="1:10">
      <c r="A2" s="2" t="str">
        <f>'Home '!C3</f>
        <v>BANZOTA PTE. LTD.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3" t="str">
        <f>'Home '!C4</f>
        <v> 202613040H</v>
      </c>
      <c r="B3" s="3"/>
      <c r="C3" s="3"/>
      <c r="D3" s="3"/>
      <c r="E3" s="3"/>
      <c r="F3" s="3"/>
      <c r="G3" s="3"/>
      <c r="H3" s="3"/>
      <c r="I3" s="18" t="str">
        <f>'Home '!F2</f>
        <v>Last updated</v>
      </c>
      <c r="J3" s="19">
        <f>'Home '!G2</f>
        <v>46087</v>
      </c>
    </row>
    <row r="4" spans="1:10">
      <c r="I4" s="18">
        <f>'Home '!F3</f>
        <v>0</v>
      </c>
    </row>
    <row r="5" spans="1:10" ht="23.45">
      <c r="A5" s="5" t="s">
        <v>119</v>
      </c>
      <c r="E5" s="26"/>
    </row>
    <row r="7" spans="1:10">
      <c r="A7" s="27" t="s">
        <v>120</v>
      </c>
    </row>
    <row r="9" spans="1:10" ht="43.5">
      <c r="A9" s="21" t="s">
        <v>121</v>
      </c>
      <c r="B9" s="21" t="s">
        <v>122</v>
      </c>
      <c r="C9" s="21" t="s">
        <v>123</v>
      </c>
      <c r="D9" s="21" t="s">
        <v>124</v>
      </c>
      <c r="E9" s="21" t="s">
        <v>125</v>
      </c>
      <c r="F9" s="21" t="s">
        <v>126</v>
      </c>
      <c r="G9" s="21" t="s">
        <v>127</v>
      </c>
      <c r="H9" s="21" t="s">
        <v>128</v>
      </c>
      <c r="I9" s="21" t="s">
        <v>129</v>
      </c>
      <c r="J9" s="21" t="s">
        <v>24</v>
      </c>
    </row>
    <row r="10" spans="1:10">
      <c r="A10" s="118">
        <v>46105</v>
      </c>
      <c r="B10" s="22">
        <v>46105</v>
      </c>
      <c r="C10" s="160" t="s">
        <v>93</v>
      </c>
      <c r="D10" s="133">
        <v>5000</v>
      </c>
      <c r="E10" s="164" t="s">
        <v>130</v>
      </c>
      <c r="F10" s="24">
        <v>0</v>
      </c>
      <c r="G10" s="24">
        <v>5000</v>
      </c>
      <c r="H10" s="23">
        <v>5000</v>
      </c>
      <c r="I10" s="23">
        <v>1</v>
      </c>
      <c r="J10" s="164" t="s">
        <v>131</v>
      </c>
    </row>
    <row r="11" spans="1:10">
      <c r="A11" s="22"/>
      <c r="B11" s="118"/>
      <c r="C11" s="12"/>
      <c r="D11" s="119"/>
      <c r="E11" s="23"/>
      <c r="F11" s="24"/>
      <c r="G11" s="24"/>
      <c r="H11" s="23"/>
      <c r="I11" s="23"/>
      <c r="J11" s="23"/>
    </row>
    <row r="12" spans="1:10">
      <c r="A12" s="22"/>
      <c r="B12" s="118"/>
      <c r="C12" s="16"/>
      <c r="D12" s="23"/>
      <c r="E12" s="23"/>
      <c r="F12" s="24"/>
      <c r="G12" s="24"/>
      <c r="H12" s="23"/>
      <c r="I12" s="23"/>
      <c r="J12" s="23"/>
    </row>
    <row r="13" spans="1:10">
      <c r="A13" s="22"/>
      <c r="B13" s="22"/>
      <c r="C13" s="12"/>
      <c r="D13" s="24"/>
      <c r="E13" s="23"/>
      <c r="F13" s="24"/>
      <c r="G13" s="24"/>
      <c r="H13" s="23"/>
      <c r="I13" s="23"/>
      <c r="J13" s="23"/>
    </row>
    <row r="14" spans="1:10">
      <c r="A14" s="22"/>
      <c r="B14" s="22"/>
      <c r="C14" s="12"/>
      <c r="D14" s="24"/>
      <c r="E14" s="23"/>
      <c r="F14" s="24"/>
      <c r="G14" s="24"/>
      <c r="H14" s="23"/>
      <c r="I14" s="23"/>
      <c r="J14" s="23"/>
    </row>
    <row r="15" spans="1:10">
      <c r="A15" s="22"/>
      <c r="B15" s="22"/>
      <c r="C15" s="12"/>
      <c r="D15" s="24"/>
      <c r="E15" s="23"/>
      <c r="F15" s="24"/>
      <c r="G15" s="24"/>
      <c r="H15" s="23"/>
      <c r="I15" s="23"/>
      <c r="J15" s="23"/>
    </row>
    <row r="16" spans="1:10">
      <c r="A16" s="118"/>
      <c r="B16" s="118"/>
      <c r="C16" s="16"/>
      <c r="D16" s="23"/>
      <c r="E16" s="23"/>
      <c r="F16" s="24"/>
      <c r="G16" s="24"/>
      <c r="H16" s="23"/>
      <c r="I16" s="23"/>
      <c r="J16" s="23"/>
    </row>
    <row r="17" spans="1:10">
      <c r="A17" s="118"/>
      <c r="B17" s="118"/>
      <c r="C17" s="16"/>
      <c r="D17" s="23"/>
      <c r="E17" s="23"/>
      <c r="F17" s="24"/>
      <c r="G17" s="24"/>
      <c r="H17" s="23"/>
      <c r="I17" s="23"/>
      <c r="J17" s="16"/>
    </row>
    <row r="18" spans="1:10">
      <c r="A18" s="118"/>
      <c r="B18" s="118"/>
      <c r="C18" s="16"/>
      <c r="D18" s="23"/>
      <c r="E18" s="23"/>
      <c r="F18" s="24"/>
      <c r="G18" s="24"/>
      <c r="H18" s="23"/>
      <c r="I18" s="23"/>
      <c r="J18" s="16"/>
    </row>
    <row r="19" spans="1:10">
      <c r="A19" s="118"/>
      <c r="B19" s="118"/>
      <c r="C19" s="16"/>
      <c r="D19" s="23"/>
      <c r="E19" s="23"/>
      <c r="F19" s="24"/>
      <c r="G19" s="24"/>
      <c r="H19" s="23"/>
      <c r="I19" s="23"/>
      <c r="J19" s="16"/>
    </row>
    <row r="20" spans="1:10">
      <c r="A20" s="118"/>
      <c r="B20" s="118"/>
      <c r="C20" s="16"/>
      <c r="D20" s="23"/>
      <c r="E20" s="23"/>
      <c r="F20" s="24"/>
      <c r="G20" s="24"/>
      <c r="H20" s="23"/>
      <c r="I20" s="23"/>
      <c r="J20" s="110"/>
    </row>
    <row r="23" spans="1:10">
      <c r="A23" s="27" t="s">
        <v>132</v>
      </c>
    </row>
    <row r="25" spans="1:10" ht="43.5">
      <c r="A25" s="35" t="s">
        <v>121</v>
      </c>
      <c r="B25" s="36" t="s">
        <v>122</v>
      </c>
      <c r="C25" s="36" t="s">
        <v>123</v>
      </c>
      <c r="D25" s="36" t="s">
        <v>124</v>
      </c>
      <c r="E25" s="36" t="s">
        <v>125</v>
      </c>
      <c r="F25" s="36" t="s">
        <v>126</v>
      </c>
      <c r="G25" s="36" t="s">
        <v>127</v>
      </c>
      <c r="H25" s="36" t="s">
        <v>128</v>
      </c>
      <c r="I25" s="36" t="s">
        <v>129</v>
      </c>
      <c r="J25" s="38" t="s">
        <v>24</v>
      </c>
    </row>
    <row r="26" spans="1:10">
      <c r="A26" s="28"/>
      <c r="B26" s="29"/>
      <c r="C26" s="15"/>
      <c r="D26" s="14"/>
      <c r="E26" s="14"/>
      <c r="F26" s="13"/>
      <c r="G26" s="13"/>
      <c r="H26" s="14"/>
      <c r="I26" s="14"/>
      <c r="J26" s="37"/>
    </row>
    <row r="27" spans="1:10">
      <c r="A27" s="28"/>
      <c r="B27" s="29"/>
      <c r="C27" s="15"/>
      <c r="D27" s="14"/>
      <c r="E27" s="14"/>
      <c r="F27" s="13"/>
      <c r="G27" s="13"/>
      <c r="H27" s="14"/>
      <c r="I27" s="14"/>
      <c r="J27" s="37"/>
    </row>
    <row r="28" spans="1:10">
      <c r="A28" s="28"/>
      <c r="B28" s="29"/>
      <c r="C28" s="15"/>
      <c r="D28" s="14"/>
      <c r="E28" s="14"/>
      <c r="F28" s="13"/>
      <c r="G28" s="13"/>
      <c r="H28" s="14"/>
      <c r="I28" s="14"/>
      <c r="J28" s="37"/>
    </row>
    <row r="29" spans="1:10">
      <c r="A29" s="28"/>
      <c r="B29" s="29"/>
      <c r="C29" s="15"/>
      <c r="D29" s="14"/>
      <c r="E29" s="14"/>
      <c r="F29" s="13"/>
      <c r="G29" s="13"/>
      <c r="H29" s="14"/>
      <c r="I29" s="14"/>
      <c r="J29" s="37"/>
    </row>
    <row r="30" spans="1:10">
      <c r="A30" s="28"/>
      <c r="B30" s="29"/>
      <c r="C30" s="15"/>
      <c r="D30" s="14"/>
      <c r="E30" s="14"/>
      <c r="F30" s="13"/>
      <c r="G30" s="13"/>
      <c r="H30" s="14"/>
      <c r="I30" s="14"/>
      <c r="J30" s="37"/>
    </row>
    <row r="31" spans="1:10">
      <c r="A31" s="28"/>
      <c r="B31" s="29"/>
      <c r="C31" s="15"/>
      <c r="D31" s="14"/>
      <c r="E31" s="14"/>
      <c r="F31" s="13"/>
      <c r="G31" s="13"/>
      <c r="H31" s="14"/>
      <c r="I31" s="14"/>
      <c r="J31" s="37"/>
    </row>
    <row r="32" spans="1:10">
      <c r="A32" s="28"/>
      <c r="B32" s="29"/>
      <c r="C32" s="15"/>
      <c r="D32" s="14"/>
      <c r="E32" s="14"/>
      <c r="F32" s="13"/>
      <c r="G32" s="13"/>
      <c r="H32" s="14"/>
      <c r="I32" s="14"/>
      <c r="J32" s="37"/>
    </row>
    <row r="33" spans="1:10">
      <c r="A33" s="28"/>
      <c r="B33" s="29"/>
      <c r="C33" s="15"/>
      <c r="D33" s="14"/>
      <c r="E33" s="14"/>
      <c r="F33" s="13"/>
      <c r="G33" s="13"/>
      <c r="H33" s="14"/>
      <c r="I33" s="14"/>
      <c r="J33" s="37"/>
    </row>
    <row r="34" spans="1:10">
      <c r="A34" s="30"/>
      <c r="B34" s="31"/>
      <c r="C34" s="32"/>
      <c r="D34" s="33"/>
      <c r="E34" s="33"/>
      <c r="F34" s="34"/>
      <c r="G34" s="34"/>
      <c r="H34" s="33"/>
      <c r="I34" s="33"/>
      <c r="J34" s="39"/>
    </row>
  </sheetData>
  <pageMargins left="0.7" right="0.7" top="0.75" bottom="0.75" header="0.3" footer="0.3"/>
  <pageSetup paperSize="9" scale="82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  <pageSetUpPr fitToPage="1"/>
  </sheetPr>
  <dimension ref="A2:G27"/>
  <sheetViews>
    <sheetView showGridLines="0" workbookViewId="0">
      <selection activeCell="G3" sqref="G3"/>
    </sheetView>
  </sheetViews>
  <sheetFormatPr defaultColWidth="9" defaultRowHeight="14.45"/>
  <cols>
    <col min="1" max="1" width="13.125" customWidth="1"/>
    <col min="2" max="2" width="26.875" customWidth="1"/>
    <col min="3" max="3" width="10.5" customWidth="1"/>
    <col min="4" max="4" width="12.125" customWidth="1"/>
    <col min="5" max="5" width="53.5" customWidth="1"/>
    <col min="6" max="6" width="14.875" customWidth="1"/>
    <col min="7" max="7" width="13.875" customWidth="1"/>
  </cols>
  <sheetData>
    <row r="2" spans="1:7">
      <c r="A2" s="2" t="str">
        <f>'Home '!C3</f>
        <v>BANZOTA PTE. LTD.</v>
      </c>
      <c r="B2" s="3"/>
      <c r="C2" s="3"/>
      <c r="D2" s="3"/>
      <c r="E2" s="3"/>
      <c r="F2" s="3"/>
      <c r="G2" s="3"/>
    </row>
    <row r="3" spans="1:7">
      <c r="A3" s="3" t="str">
        <f>'Home '!C4</f>
        <v> 202613040H</v>
      </c>
      <c r="B3" s="3"/>
      <c r="C3" s="3"/>
      <c r="D3" s="3"/>
      <c r="E3" s="3"/>
      <c r="F3" s="18" t="str">
        <f>'Home '!F2</f>
        <v>Last updated</v>
      </c>
      <c r="G3" s="19">
        <f>'Home '!G2</f>
        <v>46087</v>
      </c>
    </row>
    <row r="5" spans="1:7">
      <c r="A5" s="5" t="s">
        <v>133</v>
      </c>
    </row>
    <row r="7" spans="1:7" ht="17.25" customHeight="1">
      <c r="A7" t="s">
        <v>134</v>
      </c>
    </row>
    <row r="8" spans="1:7" ht="19.5" customHeight="1">
      <c r="A8" s="154" t="s">
        <v>135</v>
      </c>
      <c r="B8" s="152" t="s">
        <v>136</v>
      </c>
      <c r="C8" s="152"/>
      <c r="D8" s="152"/>
      <c r="E8" s="152" t="s">
        <v>137</v>
      </c>
      <c r="F8" s="152"/>
      <c r="G8" s="152"/>
    </row>
    <row r="9" spans="1:7" ht="43.5">
      <c r="A9" s="154"/>
      <c r="B9" s="21" t="s">
        <v>114</v>
      </c>
      <c r="C9" s="21" t="s">
        <v>138</v>
      </c>
      <c r="D9" s="6" t="s">
        <v>139</v>
      </c>
      <c r="E9" s="21" t="s">
        <v>140</v>
      </c>
      <c r="F9" s="21" t="s">
        <v>138</v>
      </c>
      <c r="G9" s="6" t="s">
        <v>141</v>
      </c>
    </row>
    <row r="10" spans="1:7">
      <c r="A10" s="22"/>
      <c r="B10" s="23"/>
      <c r="C10" s="23"/>
      <c r="D10" s="24"/>
      <c r="E10" s="25"/>
      <c r="F10" s="23"/>
      <c r="G10" s="23"/>
    </row>
    <row r="11" spans="1:7">
      <c r="A11" s="22"/>
      <c r="B11" s="15"/>
      <c r="C11" s="23"/>
      <c r="D11" s="23"/>
      <c r="E11" s="15"/>
      <c r="F11" s="23"/>
      <c r="G11" s="23"/>
    </row>
    <row r="12" spans="1:7">
      <c r="A12" s="22"/>
      <c r="B12" s="23"/>
      <c r="C12" s="23"/>
      <c r="D12" s="23"/>
      <c r="E12" s="25"/>
      <c r="F12" s="23"/>
      <c r="G12" s="23"/>
    </row>
    <row r="13" spans="1:7">
      <c r="A13" s="22"/>
      <c r="B13" s="25"/>
      <c r="C13" s="23"/>
      <c r="D13" s="23"/>
      <c r="E13" s="16"/>
      <c r="F13" s="23"/>
      <c r="G13" s="23"/>
    </row>
    <row r="14" spans="1:7">
      <c r="A14" s="22"/>
      <c r="B14" s="25"/>
      <c r="C14" s="23"/>
      <c r="D14" s="23"/>
      <c r="E14" s="16"/>
      <c r="F14" s="23"/>
      <c r="G14" s="23"/>
    </row>
    <row r="15" spans="1:7">
      <c r="A15" s="22"/>
      <c r="B15" s="25"/>
      <c r="C15" s="23"/>
      <c r="D15" s="23"/>
      <c r="E15" s="16"/>
      <c r="F15" s="23"/>
      <c r="G15" s="23"/>
    </row>
    <row r="16" spans="1:7">
      <c r="A16" s="22"/>
      <c r="B16" s="23"/>
      <c r="C16" s="23"/>
      <c r="D16" s="23"/>
      <c r="E16" s="25"/>
      <c r="F16" s="23"/>
      <c r="G16" s="23"/>
    </row>
    <row r="18" spans="1:7">
      <c r="A18" t="s">
        <v>142</v>
      </c>
    </row>
    <row r="19" spans="1:7">
      <c r="A19" s="154" t="s">
        <v>135</v>
      </c>
      <c r="B19" s="152" t="s">
        <v>136</v>
      </c>
      <c r="C19" s="152"/>
      <c r="D19" s="152"/>
      <c r="E19" s="152" t="s">
        <v>137</v>
      </c>
      <c r="F19" s="152"/>
      <c r="G19" s="152"/>
    </row>
    <row r="20" spans="1:7" ht="43.5">
      <c r="A20" s="154"/>
      <c r="B20" s="6" t="s">
        <v>114</v>
      </c>
      <c r="C20" s="6" t="s">
        <v>138</v>
      </c>
      <c r="D20" s="6" t="s">
        <v>139</v>
      </c>
      <c r="E20" s="6" t="s">
        <v>140</v>
      </c>
      <c r="F20" s="6" t="s">
        <v>138</v>
      </c>
      <c r="G20" s="6" t="s">
        <v>141</v>
      </c>
    </row>
    <row r="21" spans="1:7">
      <c r="A21" s="22"/>
      <c r="B21" s="23"/>
      <c r="C21" s="23"/>
      <c r="D21" s="23"/>
      <c r="E21" s="25"/>
      <c r="F21" s="23"/>
      <c r="G21" s="23"/>
    </row>
    <row r="22" spans="1:7">
      <c r="A22" s="22"/>
      <c r="B22" s="23"/>
      <c r="C22" s="23"/>
      <c r="D22" s="23"/>
      <c r="E22" s="25"/>
      <c r="F22" s="23"/>
      <c r="G22" s="23"/>
    </row>
    <row r="23" spans="1:7">
      <c r="A23" s="22"/>
      <c r="B23" s="23"/>
      <c r="C23" s="23"/>
      <c r="D23" s="23"/>
      <c r="E23" s="25"/>
      <c r="F23" s="23"/>
      <c r="G23" s="23"/>
    </row>
    <row r="24" spans="1:7">
      <c r="A24" s="22"/>
      <c r="B24" s="25"/>
      <c r="C24" s="23"/>
      <c r="D24" s="23"/>
      <c r="E24" s="16"/>
      <c r="F24" s="23"/>
      <c r="G24" s="23"/>
    </row>
    <row r="25" spans="1:7">
      <c r="A25" s="22"/>
      <c r="B25" s="25"/>
      <c r="C25" s="23"/>
      <c r="D25" s="23"/>
      <c r="E25" s="16"/>
      <c r="F25" s="23"/>
      <c r="G25" s="23"/>
    </row>
    <row r="26" spans="1:7">
      <c r="A26" s="22"/>
      <c r="B26" s="25"/>
      <c r="C26" s="23"/>
      <c r="D26" s="23"/>
      <c r="E26" s="16"/>
      <c r="F26" s="23"/>
      <c r="G26" s="23"/>
    </row>
    <row r="27" spans="1:7">
      <c r="A27" s="22"/>
      <c r="B27" s="23"/>
      <c r="C27" s="23"/>
      <c r="D27" s="23"/>
      <c r="E27" s="25"/>
      <c r="F27" s="23"/>
      <c r="G27" s="23"/>
    </row>
  </sheetData>
  <mergeCells count="6">
    <mergeCell ref="B8:D8"/>
    <mergeCell ref="E8:G8"/>
    <mergeCell ref="B19:D19"/>
    <mergeCell ref="E19:G19"/>
    <mergeCell ref="A8:A9"/>
    <mergeCell ref="A19:A20"/>
  </mergeCells>
  <pageMargins left="0.7" right="0.7" top="0.75" bottom="0.75" header="0.3" footer="0.3"/>
  <pageSetup paperSize="9" scale="90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  <pageSetUpPr fitToPage="1"/>
  </sheetPr>
  <dimension ref="B2:K18"/>
  <sheetViews>
    <sheetView showGridLines="0" workbookViewId="0">
      <selection activeCell="K27" sqref="K27"/>
    </sheetView>
  </sheetViews>
  <sheetFormatPr defaultColWidth="9" defaultRowHeight="14.45"/>
  <cols>
    <col min="1" max="1" width="5" customWidth="1"/>
    <col min="2" max="2" width="23.125" customWidth="1"/>
    <col min="3" max="3" width="10.5" customWidth="1"/>
    <col min="4" max="4" width="15.125" customWidth="1"/>
    <col min="5" max="5" width="11.875" customWidth="1"/>
    <col min="6" max="6" width="13.625" customWidth="1"/>
    <col min="7" max="7" width="13" customWidth="1"/>
    <col min="8" max="8" width="14" customWidth="1"/>
    <col min="9" max="9" width="12.125" customWidth="1"/>
    <col min="10" max="10" width="14.875" customWidth="1"/>
    <col min="11" max="11" width="23" customWidth="1"/>
  </cols>
  <sheetData>
    <row r="2" spans="2:11">
      <c r="B2" s="2" t="str">
        <f>'Home '!C3</f>
        <v>BANZOTA PTE. LTD.</v>
      </c>
      <c r="C2" s="3"/>
      <c r="D2" s="3"/>
      <c r="E2" s="3"/>
      <c r="F2" s="3"/>
      <c r="G2" s="3"/>
      <c r="H2" s="3"/>
      <c r="I2" s="3"/>
      <c r="J2" s="3"/>
      <c r="K2" s="3"/>
    </row>
    <row r="3" spans="2:11">
      <c r="B3" s="3" t="str">
        <f>'Home '!C4</f>
        <v> 202613040H</v>
      </c>
      <c r="C3" s="3"/>
      <c r="D3" s="3"/>
      <c r="E3" s="3"/>
      <c r="F3" s="3"/>
      <c r="G3" s="3"/>
      <c r="H3" s="3"/>
      <c r="I3" s="3"/>
      <c r="J3" s="18" t="str">
        <f>'Home '!F2</f>
        <v>Last updated</v>
      </c>
      <c r="K3" s="19">
        <f>'Home '!G2</f>
        <v>46087</v>
      </c>
    </row>
    <row r="5" spans="2:11">
      <c r="B5" s="5" t="s">
        <v>143</v>
      </c>
    </row>
    <row r="7" spans="2:11" ht="36.200000000000003" customHeight="1">
      <c r="B7" s="154" t="s">
        <v>144</v>
      </c>
      <c r="C7" s="155" t="s">
        <v>145</v>
      </c>
      <c r="D7" s="155"/>
      <c r="E7" s="155"/>
      <c r="F7" s="112" t="s">
        <v>146</v>
      </c>
      <c r="G7" s="155" t="s">
        <v>147</v>
      </c>
      <c r="H7" s="155"/>
      <c r="I7" s="155" t="s">
        <v>148</v>
      </c>
      <c r="J7" s="155"/>
      <c r="K7" s="154" t="s">
        <v>149</v>
      </c>
    </row>
    <row r="8" spans="2:11" ht="57.95">
      <c r="B8" s="154"/>
      <c r="C8" s="21" t="s">
        <v>150</v>
      </c>
      <c r="D8" s="21" t="s">
        <v>151</v>
      </c>
      <c r="E8" s="21" t="s">
        <v>152</v>
      </c>
      <c r="F8" s="6" t="s">
        <v>153</v>
      </c>
      <c r="G8" s="21" t="s">
        <v>154</v>
      </c>
      <c r="H8" s="21" t="s">
        <v>141</v>
      </c>
      <c r="I8" s="21" t="s">
        <v>154</v>
      </c>
      <c r="J8" s="21" t="s">
        <v>141</v>
      </c>
      <c r="K8" s="154"/>
    </row>
    <row r="9" spans="2:11">
      <c r="B9" s="113"/>
      <c r="C9" s="134"/>
      <c r="D9" s="113"/>
      <c r="E9" s="113"/>
      <c r="F9" s="113"/>
      <c r="G9" s="22"/>
      <c r="H9" s="113"/>
      <c r="I9" s="113"/>
      <c r="J9" s="113"/>
      <c r="K9" s="113"/>
    </row>
    <row r="10" spans="2:11">
      <c r="B10" s="12"/>
      <c r="C10" s="23"/>
      <c r="D10" s="162"/>
      <c r="E10" s="128"/>
      <c r="F10" s="12"/>
      <c r="G10" s="120"/>
      <c r="H10" s="25"/>
      <c r="I10" s="22"/>
      <c r="J10" s="114"/>
      <c r="K10" s="110"/>
    </row>
    <row r="11" spans="2:11">
      <c r="B11" s="16"/>
      <c r="C11" s="23"/>
      <c r="D11" s="115"/>
      <c r="E11" s="115"/>
      <c r="F11" s="113"/>
      <c r="G11" s="22"/>
      <c r="H11" s="113"/>
      <c r="I11" s="113"/>
      <c r="J11" s="113"/>
      <c r="K11" s="113"/>
    </row>
    <row r="12" spans="2:11">
      <c r="B12" s="12"/>
      <c r="C12" s="24"/>
      <c r="D12" s="23"/>
      <c r="E12" s="24"/>
      <c r="F12" s="113"/>
      <c r="G12" s="22"/>
      <c r="H12" s="113"/>
      <c r="I12" s="113"/>
      <c r="J12" s="113"/>
      <c r="K12" s="113"/>
    </row>
    <row r="13" spans="2:11">
      <c r="B13" s="16"/>
      <c r="C13" s="24"/>
      <c r="D13" s="115"/>
      <c r="E13" s="24"/>
      <c r="F13" s="113"/>
      <c r="G13" s="22"/>
      <c r="H13" s="113"/>
      <c r="I13" s="113"/>
      <c r="J13" s="113"/>
      <c r="K13" s="113"/>
    </row>
    <row r="14" spans="2:11">
      <c r="B14" s="12"/>
      <c r="C14" s="24"/>
      <c r="D14" s="23"/>
      <c r="E14" s="24"/>
      <c r="F14" s="110"/>
      <c r="G14" s="22"/>
      <c r="H14" s="110"/>
      <c r="I14" s="116"/>
      <c r="J14" s="117"/>
      <c r="K14" s="110"/>
    </row>
    <row r="15" spans="2:11">
      <c r="B15" s="16"/>
      <c r="C15" s="23"/>
      <c r="D15" s="23"/>
      <c r="E15" s="23"/>
      <c r="F15" s="110"/>
      <c r="G15" s="17"/>
      <c r="H15" s="23"/>
      <c r="I15" s="22"/>
      <c r="J15" s="114"/>
      <c r="K15" s="110"/>
    </row>
    <row r="16" spans="2:11">
      <c r="B16" s="16"/>
      <c r="C16" s="23"/>
      <c r="D16" s="23"/>
      <c r="E16" s="23"/>
      <c r="F16" s="110"/>
      <c r="G16" s="17"/>
      <c r="H16" s="23"/>
      <c r="I16" s="22"/>
      <c r="J16" s="114"/>
      <c r="K16" s="110"/>
    </row>
    <row r="17" spans="2:11">
      <c r="B17" s="16"/>
      <c r="C17" s="110"/>
      <c r="D17" s="110"/>
      <c r="E17" s="110"/>
      <c r="F17" s="110"/>
      <c r="G17" s="116"/>
      <c r="H17" s="110"/>
      <c r="I17" s="116"/>
      <c r="J17" s="116"/>
      <c r="K17" s="110"/>
    </row>
    <row r="18" spans="2:11">
      <c r="B18" s="8"/>
      <c r="C18" s="110"/>
      <c r="D18" s="110"/>
      <c r="E18" s="110"/>
      <c r="F18" s="110"/>
      <c r="G18" s="116"/>
      <c r="H18" s="110"/>
      <c r="I18" s="110"/>
      <c r="J18" s="110"/>
      <c r="K18" s="110"/>
    </row>
  </sheetData>
  <mergeCells count="5">
    <mergeCell ref="C7:E7"/>
    <mergeCell ref="G7:H7"/>
    <mergeCell ref="I7:J7"/>
    <mergeCell ref="B7:B8"/>
    <mergeCell ref="K7:K8"/>
  </mergeCells>
  <pageMargins left="0.7" right="0.7" top="0.75" bottom="0.75" header="0.3" footer="0.3"/>
  <pageSetup scale="78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/>
  </sheetPr>
  <dimension ref="A2:H13"/>
  <sheetViews>
    <sheetView workbookViewId="0">
      <selection activeCell="K15" sqref="K15"/>
    </sheetView>
  </sheetViews>
  <sheetFormatPr defaultColWidth="9" defaultRowHeight="14.45"/>
  <cols>
    <col min="1" max="1" width="18.125" customWidth="1"/>
    <col min="2" max="2" width="15.5" customWidth="1"/>
    <col min="3" max="3" width="11.125" customWidth="1"/>
    <col min="4" max="4" width="12.125" customWidth="1"/>
    <col min="5" max="5" width="23.125" customWidth="1"/>
    <col min="6" max="6" width="12.125" customWidth="1"/>
    <col min="7" max="7" width="15.5" customWidth="1"/>
    <col min="8" max="8" width="14.875" customWidth="1"/>
  </cols>
  <sheetData>
    <row r="2" spans="1:8">
      <c r="A2" s="2" t="str">
        <f>'Home '!C3</f>
        <v>BANZOTA PTE. LTD.</v>
      </c>
      <c r="B2" s="3"/>
      <c r="C2" s="3"/>
      <c r="D2" s="3"/>
      <c r="E2" s="3"/>
      <c r="F2" s="3"/>
      <c r="G2" s="3"/>
      <c r="H2" s="3"/>
    </row>
    <row r="3" spans="1:8">
      <c r="A3" s="3" t="str">
        <f>'Home '!C4</f>
        <v> 202613040H</v>
      </c>
      <c r="B3" s="3"/>
      <c r="C3" s="3"/>
      <c r="D3" s="3"/>
      <c r="E3" s="3"/>
      <c r="F3" s="3"/>
      <c r="G3" s="3" t="str">
        <f>'Home '!F2</f>
        <v>Last updated</v>
      </c>
      <c r="H3" s="4">
        <f>'Home '!G2</f>
        <v>46087</v>
      </c>
    </row>
    <row r="5" spans="1:8">
      <c r="A5" s="5" t="s">
        <v>155</v>
      </c>
    </row>
    <row r="7" spans="1:8" s="1" customFormat="1" ht="43.5">
      <c r="A7" s="6" t="s">
        <v>156</v>
      </c>
      <c r="B7" s="6" t="s">
        <v>157</v>
      </c>
      <c r="C7" s="6" t="s">
        <v>158</v>
      </c>
      <c r="D7" s="6" t="s">
        <v>159</v>
      </c>
      <c r="E7" s="6" t="s">
        <v>160</v>
      </c>
      <c r="F7" s="6" t="s">
        <v>161</v>
      </c>
      <c r="G7" s="6" t="s">
        <v>162</v>
      </c>
      <c r="H7" s="6" t="s">
        <v>163</v>
      </c>
    </row>
    <row r="8" spans="1:8" ht="18.600000000000001">
      <c r="A8" s="7" t="s">
        <v>164</v>
      </c>
      <c r="B8" s="8"/>
      <c r="C8" s="8"/>
      <c r="D8" s="8"/>
      <c r="E8" s="8"/>
      <c r="F8" s="8"/>
      <c r="G8" s="8"/>
      <c r="H8" s="8"/>
    </row>
    <row r="9" spans="1:8">
      <c r="A9" s="9"/>
      <c r="B9" s="8"/>
      <c r="C9" s="8"/>
      <c r="D9" s="8"/>
      <c r="E9" s="8"/>
      <c r="F9" s="8"/>
      <c r="G9" s="8"/>
      <c r="H9" s="8"/>
    </row>
    <row r="10" spans="1:8">
      <c r="A10" s="9"/>
      <c r="B10" s="8"/>
      <c r="C10" s="8"/>
      <c r="D10" s="8"/>
      <c r="E10" s="8"/>
      <c r="F10" s="8"/>
      <c r="G10" s="8"/>
      <c r="H10" s="8"/>
    </row>
    <row r="11" spans="1:8">
      <c r="A11" s="9"/>
      <c r="B11" s="8"/>
      <c r="C11" s="8"/>
      <c r="D11" s="8"/>
      <c r="E11" s="8"/>
      <c r="F11" s="8"/>
      <c r="G11" s="8"/>
      <c r="H11" s="8"/>
    </row>
    <row r="12" spans="1:8">
      <c r="A12" s="9"/>
      <c r="B12" s="8"/>
      <c r="C12" s="8"/>
      <c r="D12" s="8"/>
      <c r="E12" s="8"/>
      <c r="F12" s="8"/>
      <c r="G12" s="8"/>
      <c r="H12" s="8"/>
    </row>
    <row r="13" spans="1:8">
      <c r="A13" s="9"/>
      <c r="B13" s="8"/>
      <c r="C13" s="8"/>
      <c r="D13" s="8"/>
      <c r="E13" s="8"/>
      <c r="F13" s="8"/>
      <c r="G13" s="8"/>
      <c r="H13" s="8"/>
    </row>
  </sheetData>
  <pageMargins left="0.7" right="0.7" top="0.75" bottom="0.75" header="0.3" footer="0.3"/>
  <pageSetup paperSize="9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31530-272d-4097-91a6-5885b1294d7a" xsi:nil="true"/>
    <lcf76f155ced4ddcb4097134ff3c332f xmlns="27efabaf-cfc7-41fe-b07e-32e085020d8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9EBA9E7E125E4DAF464D3F602F5A12" ma:contentTypeVersion="15" ma:contentTypeDescription="Create a new document." ma:contentTypeScope="" ma:versionID="f5c695a757a6dd02104730933338d81e">
  <xsd:schema xmlns:xsd="http://www.w3.org/2001/XMLSchema" xmlns:xs="http://www.w3.org/2001/XMLSchema" xmlns:p="http://schemas.microsoft.com/office/2006/metadata/properties" xmlns:ns2="27efabaf-cfc7-41fe-b07e-32e085020d8e" xmlns:ns3="fbe31530-272d-4097-91a6-5885b1294d7a" targetNamespace="http://schemas.microsoft.com/office/2006/metadata/properties" ma:root="true" ma:fieldsID="595093e31a7b5d53503a21ca9a80d850" ns2:_="" ns3:_="">
    <xsd:import namespace="27efabaf-cfc7-41fe-b07e-32e085020d8e"/>
    <xsd:import namespace="fbe31530-272d-4097-91a6-5885b1294d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fabaf-cfc7-41fe-b07e-32e085020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8090329-f866-4b8c-b15d-7b5f7b5081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31530-272d-4097-91a6-5885b1294d7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20b5b47-71e0-4930-b84d-ffb22adcfe31}" ma:internalName="TaxCatchAll" ma:showField="CatchAllData" ma:web="fbe31530-272d-4097-91a6-5885b1294d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EE4C1-D563-408D-847F-FA9383651826}"/>
</file>

<file path=customXml/itemProps2.xml><?xml version="1.0" encoding="utf-8"?>
<ds:datastoreItem xmlns:ds="http://schemas.openxmlformats.org/officeDocument/2006/customXml" ds:itemID="{80072FD4-A699-4050-88A5-DF313DD1E813}"/>
</file>

<file path=customXml/itemProps3.xml><?xml version="1.0" encoding="utf-8"?>
<ds:datastoreItem xmlns:ds="http://schemas.openxmlformats.org/officeDocument/2006/customXml" ds:itemID="{5BED91B8-0F4E-4A1F-AA9E-B146D22B7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piyushchaplot piyushchaplot</dc:creator>
  <cp:keywords/>
  <dc:description/>
  <cp:lastModifiedBy>asifmohamed188@gmail.com</cp:lastModifiedBy>
  <cp:revision/>
  <dcterms:created xsi:type="dcterms:W3CDTF">2018-10-22T02:06:00Z</dcterms:created>
  <dcterms:modified xsi:type="dcterms:W3CDTF">2026-04-27T07:46:27Z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B8EB935D571B4E41B09004EE02AAF606</vt:lpwstr>
  </property>
  <property fmtid="{D5CDD505-2E9C-101B-9397-08002B2CF9AE}" pid="3" name="KSOProductBuildVer">
    <vt:lpwstr>1033-11.2.0.10426</vt:lpwstr>
  </property>
  <property fmtid="{D5CDD505-2E9C-101B-9397-08002B2CF9AE}" pid="4" name="ContentTypeId">
    <vt:lpwstr>0x0101007E9EBA9E7E125E4DAF464D3F602F5A12</vt:lpwstr>
  </property>
  <property fmtid="{D5CDD505-2E9C-101B-9397-08002B2CF9AE}" pid="5" name="MediaServiceImageTags">
    <vt:lpwstr/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